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f5d8ccb4047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案例主表" sheetId="1" r:id="Ra317c024b9494f3c"/>
    <x:sheet xmlns:r="http://schemas.openxmlformats.org/officeDocument/2006/relationships" name="数据分布" sheetId="2" r:id="Rf92dfbdfb7814f43"/>
    <x:sheet xmlns:r="http://schemas.openxmlformats.org/officeDocument/2006/relationships" name="模拟SKU" sheetId="3" r:id="Rd03185dd3fdd4778"/>
    <x:sheet xmlns:r="http://schemas.openxmlformats.org/officeDocument/2006/relationships" name="字段字典" sheetId="4" r:id="R70c37119d2f44645"/>
    <x:sheet xmlns:r="http://schemas.openxmlformats.org/officeDocument/2006/relationships" name="来源与边界" sheetId="5" r:id="Ra415d019bd70441f"/>
    <x:sheet xmlns:r="http://schemas.openxmlformats.org/officeDocument/2006/relationships" name="质量检查" sheetId="6" r:id="Rfaf2049be4aa43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¥#,##0"/>
    <x:numFmt numFmtId="202" formatCode="0%"/>
    <x:numFmt numFmtId="203" formatCode="0.0"/>
    <x:numFmt numFmtId="204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  <x:font>
      <x:b/>
      <x:sz val="9"/>
      <x:color rgb="FF2E74B5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2E74B5"/>
      </x:patternFill>
    </x:fill>
    <x:fill>
      <x:patternFill patternType="solid">
        <x:fgColor rgb="FFD97706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D97706"/>
      </x:font>
      <x:fill>
        <x:patternFill patternType="solid">
          <x:bgColor rgb="FFFFF4E5"/>
        </x:patternFill>
      </x:fill>
    </x:dxf>
    <x:dxf>
      <x:font>
        <x:b/>
        <x:color rgb="FF166534"/>
      </x:font>
      <x:fill>
        <x:patternFill patternType="solid">
          <x:bgColor rgb="FFECFDF3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42318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42318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1611be81ff4a02" /><Relationship Type="http://schemas.openxmlformats.org/officeDocument/2006/relationships/theme" Target="/xl/theme/theme1.xml" Id="Re4077f2d16844186" /><Relationship Type="http://schemas.microsoft.com/office/2022/11/relationships/FeaturePropertyBag" Target="/xl/featurePropertyBag/featurePropertyBag.xml" Id="R0e0756dbe0f0496e" /><Relationship Type="http://schemas.openxmlformats.org/officeDocument/2006/relationships/sharedStrings" Target="/xl/sharedStrings.xml" Id="R161dd6292cc24cdb" /><Relationship Type="http://schemas.openxmlformats.org/officeDocument/2006/relationships/worksheet" Target="/xl/worksheets/sheet1.xml" Id="Ra317c024b9494f3c" /><Relationship Type="http://schemas.openxmlformats.org/officeDocument/2006/relationships/worksheet" Target="/xl/worksheets/sheet2.xml" Id="Rf92dfbdfb7814f43" /><Relationship Type="http://schemas.openxmlformats.org/officeDocument/2006/relationships/worksheet" Target="/xl/worksheets/sheet3.xml" Id="Rd03185dd3fdd4778" /><Relationship Type="http://schemas.openxmlformats.org/officeDocument/2006/relationships/worksheet" Target="/xl/worksheets/sheet4.xml" Id="R70c37119d2f44645" /><Relationship Type="http://schemas.openxmlformats.org/officeDocument/2006/relationships/worksheet" Target="/xl/worksheets/sheet5.xml" Id="Ra415d019bd70441f" /><Relationship Type="http://schemas.openxmlformats.org/officeDocument/2006/relationships/worksheet" Target="/xl/worksheets/sheet6.xml" Id="Rfaf2049be4aa4345" /><Relationship Type="http://schemas.microsoft.com/office/2017/10/relationships/person" Target="/xl/persons/person.xml" Id="Re62e37bb16b641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3f399ec7d564c47" /><Relationship Type="http://schemas.openxmlformats.org/officeDocument/2006/relationships/chart" Target="/xl/drawings/charts/chart2.xml" Id="R4002c1dd055d4b6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风格覆盖（60条）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'数据分布'!$A$5:$A$10</c:f>
              <c:strCache>
                <c:ptCount val="0"/>
              </c:strCache>
            </c:strRef>
          </c:cat>
          <c:val>
            <c:numRef>
              <c:f>'数据分布'!$B$5:$B$10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户型覆盖（60条）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'数据分布'!$A$14:$A$17</c:f>
              <c:strCache>
                <c:ptCount val="0"/>
              </c:strCache>
            </c:strRef>
          </c:cat>
          <c:val>
            <c:numRef>
              <c:f>'数据分布'!$B$14:$B$17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11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f399ec7d564c47"/>
        </a:graphicData>
      </a:graphic>
    </xdr:graphicFrame>
    <xdr:clientData/>
  </xdr:twoCellAnchor>
  <xdr:twoCellAnchor>
    <xdr:from>
      <xdr:col>3</xdr:col>
      <xdr:colOff>0</xdr:colOff>
      <xdr:row>18</xdr:row>
      <xdr:rowOff>0</xdr:rowOff>
    </xdr:from>
    <xdr:to>
      <xdr:col>11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02c1dd055d4b6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016A91A4-D3F1-4891-A0DE-BD8A18F161FE}"/>
</xltc:personList>
</file>

<file path=xl/tables/table1.xml><?xml version="1.0" encoding="utf-8"?>
<x:table xmlns:x="http://schemas.openxmlformats.org/spreadsheetml/2006/main" id="1" name="CasesTable" displayName="CasesTable" ref="A1:AN61" headerRowCount="1" totalsRowCount="0" totalsRowShown="0">
  <x:tableColumns count="40">
    <x:tableColumn id="1" name="case_id"/>
    <x:tableColumn id="2" name="case_title"/>
    <x:tableColumn id="3" name="data_origin"/>
    <x:tableColumn id="4" name="public_case_verified"/>
    <x:tableColumn id="5" name="public_case_url"/>
    <x:tableColumn id="6" name="public_image_url"/>
    <x:tableColumn id="7" name="public_verified_fields"/>
    <x:tableColumn id="8" name="ai_generated_fields"/>
    <x:tableColumn id="9" name="region"/>
    <x:tableColumn id="10" name="city"/>
    <x:tableColumn id="11" name="layout"/>
    <x:tableColumn id="12" name="layout_basis"/>
    <x:tableColumn id="13" name="area_m2"/>
    <x:tableColumn id="14" name="area_basis"/>
    <x:tableColumn id="15" name="main_style"/>
    <x:tableColumn id="16" name="style_basis"/>
    <x:tableColumn id="17" name="secondary_style"/>
    <x:tableColumn id="18" name="ambience"/>
    <x:tableColumn id="19" name="budget_min"/>
    <x:tableColumn id="20" name="budget_max"/>
    <x:tableColumn id="21" name="budget_total"/>
    <x:tableColumn id="22" name="household_type"/>
    <x:tableColumn id="23" name="special_needs"/>
    <x:tableColumn id="24" name="primary_colors"/>
    <x:tableColumn id="25" name="materials"/>
    <x:tableColumn id="26" name="storage_closed_ratio"/>
    <x:tableColumn id="27" name="lighting_preference"/>
    <x:tableColumn id="28" name="simulated_transaction_status"/>
    <x:tableColumn id="29" name="transaction_evidence"/>
    <x:tableColumn id="30" name="revision_count"/>
    <x:tableColumn id="31" name="satisfaction_5"/>
    <x:tableColumn id="32" name="delivery_days"/>
    <x:tableColumn id="33" name="risk_tags"/>
    <x:tableColumn id="34" name="display_right"/>
    <x:tableColumn id="35" name="training_right"/>
    <x:tableColumn id="36" name="anonymized"/>
    <x:tableColumn id="37" name="image_status"/>
    <x:tableColumn id="38" name="retrieved_date"/>
    <x:tableColumn id="39" name="id_duplicate_count"/>
    <x:tableColumn id="40" name="data_qc_resul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kuTable" displayName="SkuTable" ref="A1:K241" headerRowCount="1" totalsRowCount="0" totalsRowShown="0">
  <x:tableColumns count="11">
    <x:tableColumn id="1" name="case_sku_id"/>
    <x:tableColumn id="2" name="case_id"/>
    <x:tableColumn id="3" name="category"/>
    <x:tableColumn id="4" name="sku_code"/>
    <x:tableColumn id="5" name="product_name"/>
    <x:tableColumn id="6" name="quantity"/>
    <x:tableColumn id="7" name="unit_price"/>
    <x:tableColumn id="8" name="line_total"/>
    <x:tableColumn id="9" name="delivery_days"/>
    <x:tableColumn id="10" name="simulated"/>
    <x:tableColumn id="11" name="simulation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tionaryTable" displayName="DictionaryTable" ref="A1:E33" headerRowCount="1" totalsRowCount="0" totalsRowShown="0">
  <x:tableColumns count="5">
    <x:tableColumn id="1" name="字段"/>
    <x:tableColumn id="2" name="类型"/>
    <x:tableColumn id="3" name="含义"/>
    <x:tableColumn id="4" name="来源/规则"/>
    <x:tableColumn id="5" name="必填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68cf5c166b47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5a093cb642544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514dd5668e41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0617225b724e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22" hidden="0" customWidth="1"/>
    <x:col min="4" max="4" width="14" hidden="0" customWidth="1"/>
    <x:col min="5" max="5" width="34" hidden="0" customWidth="1"/>
    <x:col min="6" max="6" width="42" hidden="0" customWidth="1"/>
    <x:col min="7" max="7" width="28" hidden="0" customWidth="1"/>
    <x:col min="8" max="8" width="42" hidden="0" customWidth="1"/>
    <x:col min="9" max="9" width="10" hidden="0" customWidth="1"/>
    <x:col min="10" max="10" width="10" hidden="0" customWidth="1"/>
    <x:col min="11" max="11" width="14" hidden="0" customWidth="1"/>
    <x:col min="12" max="12" width="18" hidden="0" customWidth="1"/>
    <x:col min="13" max="13" width="11" hidden="0" customWidth="1"/>
    <x:col min="14" max="14" width="14" hidden="0" customWidth="1"/>
    <x:col min="15" max="15" width="14" hidden="0" customWidth="1"/>
    <x:col min="16" max="16" width="24" hidden="0" customWidth="1"/>
    <x:col min="17" max="17" width="16" hidden="0" customWidth="1"/>
    <x:col min="18" max="18" width="16" hidden="0" customWidth="1"/>
    <x:col min="19" max="19" width="14" hidden="0" customWidth="1"/>
    <x:col min="20" max="20" width="14" hidden="0" customWidth="1"/>
    <x:col min="21" max="21" width="14" hidden="0" customWidth="1"/>
    <x:col min="22" max="22" width="18" hidden="0" customWidth="1"/>
    <x:col min="23" max="23" width="26" hidden="0" customWidth="1"/>
    <x:col min="24" max="24" width="24" hidden="0" customWidth="1"/>
    <x:col min="25" max="25" width="26" hidden="0" customWidth="1"/>
    <x:col min="26" max="26" width="15" hidden="0" customWidth="1"/>
    <x:col min="27" max="27" width="18" hidden="0" customWidth="1"/>
    <x:col min="28" max="28" width="22" hidden="0" customWidth="1"/>
    <x:col min="29" max="29" width="16" hidden="0" customWidth="1"/>
    <x:col min="30" max="30" width="12" hidden="0" customWidth="1"/>
    <x:col min="31" max="31" width="12" hidden="0" customWidth="1"/>
    <x:col min="32" max="32" width="12" hidden="0" customWidth="1"/>
    <x:col min="33" max="33" width="28" hidden="0" customWidth="1"/>
    <x:col min="34" max="34" width="24" hidden="0" customWidth="1"/>
    <x:col min="35" max="35" width="28" hidden="0" customWidth="1"/>
    <x:col min="36" max="36" width="12" hidden="0" customWidth="1"/>
    <x:col min="37" max="37" width="30" hidden="0" customWidth="1"/>
    <x:col min="38" max="38" width="14" hidden="0" customWidth="1"/>
    <x:col min="39" max="39" width="12" hidden="0" customWidth="1"/>
    <x:col min="40" max="40" width="12" hidden="0" customWidth="1"/>
  </x:cols>
  <x:sheetData>
    <x:row r="1" ht="34" customHeight="1">
      <x:c r="A1" s="5" t="str">
        <x:v>case_id</x:v>
      </x:c>
      <x:c r="B1" s="5" t="str">
        <x:v>case_title</x:v>
      </x:c>
      <x:c r="C1" s="5" t="str">
        <x:v>data_origin</x:v>
      </x:c>
      <x:c r="D1" s="5" t="str">
        <x:v>public_case_verified</x:v>
      </x:c>
      <x:c r="E1" s="5" t="str">
        <x:v>public_case_url</x:v>
      </x:c>
      <x:c r="F1" s="5" t="str">
        <x:v>public_image_url</x:v>
      </x:c>
      <x:c r="G1" s="5" t="str">
        <x:v>public_verified_fields</x:v>
      </x:c>
      <x:c r="H1" s="5" t="str">
        <x:v>ai_generated_fields</x:v>
      </x:c>
      <x:c r="I1" s="5" t="str">
        <x:v>region</x:v>
      </x:c>
      <x:c r="J1" s="5" t="str">
        <x:v>city</x:v>
      </x:c>
      <x:c r="K1" s="5" t="str">
        <x:v>layout</x:v>
      </x:c>
      <x:c r="L1" s="5" t="str">
        <x:v>layout_basis</x:v>
      </x:c>
      <x:c r="M1" s="5" t="str">
        <x:v>area_m2</x:v>
      </x:c>
      <x:c r="N1" s="5" t="str">
        <x:v>area_basis</x:v>
      </x:c>
      <x:c r="O1" s="5" t="str">
        <x:v>main_style</x:v>
      </x:c>
      <x:c r="P1" s="5" t="str">
        <x:v>style_basis</x:v>
      </x:c>
      <x:c r="Q1" s="5" t="str">
        <x:v>secondary_style</x:v>
      </x:c>
      <x:c r="R1" s="5" t="str">
        <x:v>ambience</x:v>
      </x:c>
      <x:c r="S1" s="5" t="str">
        <x:v>budget_min</x:v>
      </x:c>
      <x:c r="T1" s="5" t="str">
        <x:v>budget_max</x:v>
      </x:c>
      <x:c r="U1" s="5" t="str">
        <x:v>budget_total</x:v>
      </x:c>
      <x:c r="V1" s="5" t="str">
        <x:v>household_type</x:v>
      </x:c>
      <x:c r="W1" s="5" t="str">
        <x:v>special_needs</x:v>
      </x:c>
      <x:c r="X1" s="5" t="str">
        <x:v>primary_colors</x:v>
      </x:c>
      <x:c r="Y1" s="5" t="str">
        <x:v>materials</x:v>
      </x:c>
      <x:c r="Z1" s="5" t="str">
        <x:v>storage_closed_ratio</x:v>
      </x:c>
      <x:c r="AA1" s="5" t="str">
        <x:v>lighting_preference</x:v>
      </x:c>
      <x:c r="AB1" s="5" t="str">
        <x:v>simulated_transaction_status</x:v>
      </x:c>
      <x:c r="AC1" s="5" t="str">
        <x:v>transaction_evidence</x:v>
      </x:c>
      <x:c r="AD1" s="5" t="str">
        <x:v>revision_count</x:v>
      </x:c>
      <x:c r="AE1" s="5" t="str">
        <x:v>satisfaction_5</x:v>
      </x:c>
      <x:c r="AF1" s="5" t="str">
        <x:v>delivery_days</x:v>
      </x:c>
      <x:c r="AG1" s="5" t="str">
        <x:v>risk_tags</x:v>
      </x:c>
      <x:c r="AH1" s="5" t="str">
        <x:v>display_right</x:v>
      </x:c>
      <x:c r="AI1" s="5" t="str">
        <x:v>training_right</x:v>
      </x:c>
      <x:c r="AJ1" s="5" t="str">
        <x:v>anonymized</x:v>
      </x:c>
      <x:c r="AK1" s="5" t="str">
        <x:v>image_status</x:v>
      </x:c>
      <x:c r="AL1" s="5" t="str">
        <x:v>retrieved_date</x:v>
      </x:c>
      <x:c r="AM1" s="5" t="str">
        <x:v>id_duplicate_count</x:v>
      </x:c>
      <x:c r="AN1" s="5" t="str">
        <x:v>data_qc_result</x:v>
      </x:c>
    </x:row>
    <x:row r="2">
      <x:c r="A2" s="10" t="str">
        <x:v>OP-PUB-001</x:v>
      </x:c>
      <x:c r="B2" s="8" t="str">
        <x:v>97㎡北欧风情设计案例</x:v>
      </x:c>
      <x:c r="C2" s="8" t="str">
        <x:v>官网公开案例+AI补全</x:v>
      </x:c>
      <x:c r="D2" s="9" t="b">
        <x:v>1</x:v>
      </x:c>
      <x:c r="E2" s="8" t="str">
        <x:v>https://www.oppein.cn/homematch/613</x:v>
      </x:c>
      <x:c r="F2" s="8" t="str">
        <x:v>https://oppein-shop.obs.cn-south-1.myhuaweicloud.com/fend/productimage/202208311130135214130064228.jpg</x:v>
      </x:c>
      <x:c r="G2" s="8" t="str">
        <x:v>案例标题;案例URL;主图URL;面积(标题显式);详情页抽查</x:v>
      </x:c>
      <x:c r="H2" s="8" t="str">
        <x:v>城市;家庭结构;总预算;标准风格映射;配色;材质;收纳;灯光;成交标签;修改次数;满意度;交期;风险</x:v>
      </x:c>
      <x:c r="I2" s="8" t="str">
        <x:v>华南</x:v>
      </x:c>
      <x:c r="J2" s="8" t="str">
        <x:v>广州</x:v>
      </x:c>
      <x:c r="K2" s="8" t="str">
        <x:v>三房两厅</x:v>
      </x:c>
      <x:c r="L2" s="8" t="str">
        <x:v>AI模拟</x:v>
      </x:c>
      <x:c r="M2" s="11" t="n">
        <x:v>97</x:v>
      </x:c>
      <x:c r="N2" s="8" t="str">
        <x:v>官网标题显式</x:v>
      </x:c>
      <x:c r="O2" s="8" t="str">
        <x:v>现代原木</x:v>
      </x:c>
      <x:c r="P2" s="8" t="str">
        <x:v>官网详情/标题＋AI归一化</x:v>
      </x:c>
      <x:c r="Q2" s="8" t="str">
        <x:v>自然北欧</x:v>
      </x:c>
      <x:c r="R2" s="8" t="str">
        <x:v>温暖松弛</x:v>
      </x:c>
      <x:c r="S2" s="12" t="n">
        <x:v>175000</x:v>
      </x:c>
      <x:c r="T2" s="12" t="n">
        <x:v>213000</x:v>
      </x:c>
      <x:c r="U2" s="12" t="n">
        <x:v>194000</x:v>
      </x:c>
      <x:c r="V2" s="8" t="str">
        <x:v>夫妻+1名儿童</x:v>
      </x:c>
      <x:c r="W2" s="8" t="str">
        <x:v>儿童安全;成长收纳</x:v>
      </x:c>
      <x:c r="X2" s="8" t="str">
        <x:v>米白;浅橡木;暖灰</x:v>
      </x:c>
      <x:c r="Y2" s="8" t="str">
        <x:v>木纹板;哑光板;织物</x:v>
      </x:c>
      <x:c r="Z2" s="13" t="n">
        <x:v>0.74</x:v>
      </x:c>
      <x:c r="AA2" s="8" t="str">
        <x:v>暖光无主灯</x:v>
      </x:c>
      <x:c r="AB2" s="8" t="str">
        <x:v>AI模拟已成交标签</x:v>
      </x:c>
      <x:c r="AC2" s="8" t="str">
        <x:v>无</x:v>
      </x:c>
      <x:c r="AD2" s="8" t="n">
        <x:v>1</x:v>
      </x:c>
      <x:c r="AE2" s="14" t="n">
        <x:v>4</x:v>
      </x:c>
      <x:c r="AF2" s="8" t="n">
        <x:v>52</x:v>
      </x:c>
      <x:c r="AG2" s="8" t="str">
        <x:v>预算接近上限;跨品类交期</x:v>
      </x:c>
      <x:c r="AH2" s="8" t="str">
        <x:v>仅限内部研究/原页面访问</x:v>
      </x:c>
      <x:c r="AI2" s="8" t="str">
        <x:v>否（未获训练授权）</x:v>
      </x:c>
      <x:c r="AJ2" s="9" t="b">
        <x:v>1</x:v>
      </x:c>
      <x:c r="AK2" s="8" t="str">
        <x:v>官网公开主图URL（不嵌入、不再分发）</x:v>
      </x:c>
      <x:c r="AL2" s="15" t="n">
        <x:v>46220</x:v>
      </x:c>
      <x:c r="AM2" s="8" t="n">
        <x:f>COUNTIF($A$2:$A$61,A2)</x:f>
        <x:v>1</x:v>
      </x:c>
      <x:c r="AN2" s="8" t="str">
        <x:f>IF(AND(AM2=1,M2&gt;=30,M2&lt;=220,S2&lt;=U2,U2&lt;=T2,AJ2=TRUE,AC2="无"),"PASS","CHECK")</x:f>
        <x:v>PASS</x:v>
      </x:c>
    </x:row>
    <x:row r="3">
      <x:c r="A3" s="10" t="str">
        <x:v>OP-PUB-002</x:v>
      </x:c>
      <x:c r="B3" s="8" t="str">
        <x:v>金属风摩登新贵系列三居室</x:v>
      </x:c>
      <x:c r="C3" s="8" t="str">
        <x:v>官网公开案例+AI补全</x:v>
      </x:c>
      <x:c r="D3" s="9" t="b">
        <x:v>1</x:v>
      </x:c>
      <x:c r="E3" s="8" t="str">
        <x:v>https://www.oppein.cn/homematch/610</x:v>
      </x:c>
      <x:c r="F3" s="8" t="str">
        <x:v>https://oppein-shop.obs.cn-south-1.myhuaweicloud.com/fend/productimage/202207191356494428710057048.jpg</x:v>
      </x:c>
      <x:c r="G3" s="8" t="str">
        <x:v>案例标题;案例URL;主图URL;户型(标题显式);详情页抽查</x:v>
      </x:c>
      <x:c r="H3" s="8" t="str">
        <x:v>城市;家庭结构;总预算;标准风格映射;配色;材质;收纳;灯光;成交标签;修改次数;满意度;交期;风险</x:v>
      </x:c>
      <x:c r="I3" s="8" t="str">
        <x:v>华南</x:v>
      </x:c>
      <x:c r="J3" s="8" t="str">
        <x:v>深圳</x:v>
      </x:c>
      <x:c r="K3" s="8" t="str">
        <x:v>三房两厅</x:v>
      </x:c>
      <x:c r="L3" s="8" t="str">
        <x:v>官网标题/详情</x:v>
      </x:c>
      <x:c r="M3" s="11" t="n">
        <x:v>107</x:v>
      </x:c>
      <x:c r="N3" s="8" t="str">
        <x:v>AI模拟</x:v>
      </x:c>
      <x:c r="O3" s="8" t="str">
        <x:v>现代轻奢</x:v>
      </x:c>
      <x:c r="P3" s="8" t="str">
        <x:v>官网详情/标题＋AI归一化</x:v>
      </x:c>
      <x:c r="Q3" s="8" t="str">
        <x:v>意式轻奢</x:v>
      </x:c>
      <x:c r="R3" s="8" t="str">
        <x:v>沉稳精致</x:v>
      </x:c>
      <x:c r="S3" s="12" t="n">
        <x:v>225000</x:v>
      </x:c>
      <x:c r="T3" s="12" t="n">
        <x:v>275000</x:v>
      </x:c>
      <x:c r="U3" s="12" t="n">
        <x:v>250000</x:v>
      </x:c>
      <x:c r="V3" s="8" t="str">
        <x:v>夫妻+2名儿童</x:v>
      </x:c>
      <x:c r="W3" s="8" t="str">
        <x:v>儿童安全;成长收纳</x:v>
      </x:c>
      <x:c r="X3" s="8" t="str">
        <x:v>暖灰;香槟金;深木</x:v>
      </x:c>
      <x:c r="Y3" s="8" t="str">
        <x:v>岩板;金属;玻璃;肤感板</x:v>
      </x:c>
      <x:c r="Z3" s="13" t="n">
        <x:v>0.7</x:v>
      </x:c>
      <x:c r="AA3" s="8" t="str">
        <x:v>无主灯+重点照明</x:v>
      </x:c>
      <x:c r="AB3" s="8" t="str">
        <x:v>AI模拟已成交标签</x:v>
      </x:c>
      <x:c r="AC3" s="8" t="str">
        <x:v>无</x:v>
      </x:c>
      <x:c r="AD3" s="8" t="n">
        <x:v>2</x:v>
      </x:c>
      <x:c r="AE3" s="14" t="n">
        <x:v>4.15</x:v>
      </x:c>
      <x:c r="AF3" s="8" t="n">
        <x:v>57</x:v>
      </x:c>
      <x:c r="AG3" s="8" t="str">
        <x:v>图片与落地材质需复核</x:v>
      </x:c>
      <x:c r="AH3" s="8" t="str">
        <x:v>仅限内部研究/原页面访问</x:v>
      </x:c>
      <x:c r="AI3" s="8" t="str">
        <x:v>否（未获训练授权）</x:v>
      </x:c>
      <x:c r="AJ3" s="9" t="b">
        <x:v>1</x:v>
      </x:c>
      <x:c r="AK3" s="8" t="str">
        <x:v>官网公开主图URL（不嵌入、不再分发）</x:v>
      </x:c>
      <x:c r="AL3" s="15" t="n">
        <x:v>46220</x:v>
      </x:c>
      <x:c r="AM3" s="8" t="n">
        <x:f>COUNTIF($A$2:$A$61,A3)</x:f>
        <x:v>1</x:v>
      </x:c>
      <x:c r="AN3" s="8" t="str">
        <x:f>IF(AND(AM3=1,M3&gt;=30,M3&lt;=220,S3&lt;=U3,U3&lt;=T3,AJ3=TRUE,AC3="无"),"PASS","CHECK")</x:f>
        <x:v>PASS</x:v>
      </x:c>
    </x:row>
    <x:row r="4">
      <x:c r="A4" s="10" t="str">
        <x:v>OP-PUB-003</x:v>
      </x:c>
      <x:c r="B4" s="8" t="str">
        <x:v>新中式云舍系列三居室</x:v>
      </x:c>
      <x:c r="C4" s="8" t="str">
        <x:v>官网公开案例+AI补全</x:v>
      </x:c>
      <x:c r="D4" s="9" t="b">
        <x:v>1</x:v>
      </x:c>
      <x:c r="E4" s="8" t="str">
        <x:v>https://www.oppein.cn/homematch/608</x:v>
      </x:c>
      <x:c r="F4" s="8" t="str">
        <x:v>https://oppein-shop.obs.cn-south-1.myhuaweicloud.com/fend/productimage/202205121443591650120056474.jpg</x:v>
      </x:c>
      <x:c r="G4" s="8" t="str">
        <x:v>案例标题;案例URL;主图URL;户型(标题显式);详情页抽查</x:v>
      </x:c>
      <x:c r="H4" s="8" t="str">
        <x:v>城市;家庭结构;总预算;标准风格映射;配色;材质;收纳;灯光;成交标签;修改次数;满意度;交期;风险</x:v>
      </x:c>
      <x:c r="I4" s="8" t="str">
        <x:v>华南</x:v>
      </x:c>
      <x:c r="J4" s="8" t="str">
        <x:v>佛山</x:v>
      </x:c>
      <x:c r="K4" s="8" t="str">
        <x:v>三房两厅</x:v>
      </x:c>
      <x:c r="L4" s="8" t="str">
        <x:v>官网标题/详情</x:v>
      </x:c>
      <x:c r="M4" s="11" t="n">
        <x:v>114</x:v>
      </x:c>
      <x:c r="N4" s="8" t="str">
        <x:v>AI模拟</x:v>
      </x:c>
      <x:c r="O4" s="8" t="str">
        <x:v>新中式</x:v>
      </x:c>
      <x:c r="P4" s="8" t="str">
        <x:v>官网详情/标题＋AI归一化</x:v>
      </x:c>
      <x:c r="Q4" s="8" t="str">
        <x:v>东方雅致</x:v>
      </x:c>
      <x:c r="R4" s="8" t="str">
        <x:v>安静雅致</x:v>
      </x:c>
      <x:c r="S4" s="12" t="n">
        <x:v>237000</x:v>
      </x:c>
      <x:c r="T4" s="12" t="n">
        <x:v>289000</x:v>
      </x:c>
      <x:c r="U4" s="12" t="n">
        <x:v>263000</x:v>
      </x:c>
      <x:c r="V4" s="8" t="str">
        <x:v>三代同堂</x:v>
      </x:c>
      <x:c r="W4" s="8" t="str">
        <x:v>适老;夜间照明;低位收纳</x:v>
      </x:c>
      <x:c r="X4" s="8" t="str">
        <x:v>米白;胡桃木;黛灰</x:v>
      </x:c>
      <x:c r="Y4" s="8" t="str">
        <x:v>木纹板;格栅;岩板;黄铜</x:v>
      </x:c>
      <x:c r="Z4" s="13" t="n">
        <x:v>0.76</x:v>
      </x:c>
      <x:c r="AA4" s="8" t="str">
        <x:v>暖光混合照明</x:v>
      </x:c>
      <x:c r="AB4" s="8" t="str">
        <x:v>AI模拟已成交标签</x:v>
      </x:c>
      <x:c r="AC4" s="8" t="str">
        <x:v>无</x:v>
      </x:c>
      <x:c r="AD4" s="8" t="n">
        <x:v>3</x:v>
      </x:c>
      <x:c r="AE4" s="14" t="n">
        <x:v>4.3</x:v>
      </x:c>
      <x:c r="AF4" s="8" t="n">
        <x:v>62</x:v>
      </x:c>
      <x:c r="AG4" s="8" t="str">
        <x:v>图片与落地材质需复核</x:v>
      </x:c>
      <x:c r="AH4" s="8" t="str">
        <x:v>仅限内部研究/原页面访问</x:v>
      </x:c>
      <x:c r="AI4" s="8" t="str">
        <x:v>否（未获训练授权）</x:v>
      </x:c>
      <x:c r="AJ4" s="9" t="b">
        <x:v>1</x:v>
      </x:c>
      <x:c r="AK4" s="8" t="str">
        <x:v>官网公开主图URL（不嵌入、不再分发）</x:v>
      </x:c>
      <x:c r="AL4" s="15" t="n">
        <x:v>46220</x:v>
      </x:c>
      <x:c r="AM4" s="8" t="n">
        <x:f>COUNTIF($A$2:$A$61,A4)</x:f>
        <x:v>1</x:v>
      </x:c>
      <x:c r="AN4" s="8" t="str">
        <x:f>IF(AND(AM4=1,M4&gt;=30,M4&lt;=220,S4&lt;=U4,U4&lt;=T4,AJ4=TRUE,AC4="无"),"PASS","CHECK")</x:f>
        <x:v>PASS</x:v>
      </x:c>
    </x:row>
    <x:row r="5">
      <x:c r="A5" s="10" t="str">
        <x:v>OP-PUB-004</x:v>
      </x:c>
      <x:c r="B5" s="8" t="str">
        <x:v>伯爵现代典雅两居室</x:v>
      </x:c>
      <x:c r="C5" s="8" t="str">
        <x:v>官网公开案例+AI补全</x:v>
      </x:c>
      <x:c r="D5" s="9" t="b">
        <x:v>1</x:v>
      </x:c>
      <x:c r="E5" s="8" t="str">
        <x:v>https://www.oppein.cn/homematch/578</x:v>
      </x:c>
      <x:c r="F5" s="8" t="str">
        <x:v>https://oppein-shop.obs.cn-south-1.myhuaweicloud.com/fend/productimage/2017083114370995157900464814.gif</x:v>
      </x:c>
      <x:c r="G5" s="8" t="str">
        <x:v>案例标题;案例URL;主图URL;户型(标题显式)</x:v>
      </x:c>
      <x:c r="H5" s="8" t="str">
        <x:v>城市;家庭结构;总预算;标准风格映射;配色;材质;收纳;灯光;成交标签;修改次数;满意度;交期;风险</x:v>
      </x:c>
      <x:c r="I5" s="8" t="str">
        <x:v>华南</x:v>
      </x:c>
      <x:c r="J5" s="8" t="str">
        <x:v>东莞</x:v>
      </x:c>
      <x:c r="K5" s="8" t="str">
        <x:v>两房两厅</x:v>
      </x:c>
      <x:c r="L5" s="8" t="str">
        <x:v>官网标题显式</x:v>
      </x:c>
      <x:c r="M5" s="11" t="n">
        <x:v>74</x:v>
      </x:c>
      <x:c r="N5" s="8" t="str">
        <x:v>AI模拟</x:v>
      </x:c>
      <x:c r="O5" s="8" t="str">
        <x:v>现代轻奢</x:v>
      </x:c>
      <x:c r="P5" s="8" t="str">
        <x:v>官网标题＋AI归一化</x:v>
      </x:c>
      <x:c r="Q5" s="8" t="str">
        <x:v>意式轻奢</x:v>
      </x:c>
      <x:c r="R5" s="8" t="str">
        <x:v>沉稳精致</x:v>
      </x:c>
      <x:c r="S5" s="12" t="n">
        <x:v>168000</x:v>
      </x:c>
      <x:c r="T5" s="12" t="n">
        <x:v>206000</x:v>
      </x:c>
      <x:c r="U5" s="12" t="n">
        <x:v>187000</x:v>
      </x:c>
      <x:c r="V5" s="8" t="str">
        <x:v>新婚夫妻</x:v>
      </x:c>
      <x:c r="W5" s="8" t="str">
        <x:v>强收纳;易清洁</x:v>
      </x:c>
      <x:c r="X5" s="8" t="str">
        <x:v>暖灰;香槟金;深木</x:v>
      </x:c>
      <x:c r="Y5" s="8" t="str">
        <x:v>岩板;金属;玻璃;肤感板</x:v>
      </x:c>
      <x:c r="Z5" s="13" t="n">
        <x:v>0.74</x:v>
      </x:c>
      <x:c r="AA5" s="8" t="str">
        <x:v>无主灯+重点照明</x:v>
      </x:c>
      <x:c r="AB5" s="8" t="str">
        <x:v>AI模拟已成交标签</x:v>
      </x:c>
      <x:c r="AC5" s="8" t="str">
        <x:v>无</x:v>
      </x:c>
      <x:c r="AD5" s="8" t="n">
        <x:v>4</x:v>
      </x:c>
      <x:c r="AE5" s="14" t="n">
        <x:v>4.45</x:v>
      </x:c>
      <x:c r="AF5" s="8" t="n">
        <x:v>67</x:v>
      </x:c>
      <x:c r="AG5" s="8" t="str">
        <x:v>图片与落地材质需复核</x:v>
      </x:c>
      <x:c r="AH5" s="8" t="str">
        <x:v>仅限内部研究/原页面访问</x:v>
      </x:c>
      <x:c r="AI5" s="8" t="str">
        <x:v>否（未获训练授权）</x:v>
      </x:c>
      <x:c r="AJ5" s="9" t="b">
        <x:v>1</x:v>
      </x:c>
      <x:c r="AK5" s="8" t="str">
        <x:v>官网公开主图URL（不嵌入、不再分发）</x:v>
      </x:c>
      <x:c r="AL5" s="15" t="n">
        <x:v>46220</x:v>
      </x:c>
      <x:c r="AM5" s="8" t="n">
        <x:f>COUNTIF($A$2:$A$61,A5)</x:f>
        <x:v>1</x:v>
      </x:c>
      <x:c r="AN5" s="8" t="str">
        <x:f>IF(AND(AM5=1,M5&gt;=30,M5&lt;=220,S5&lt;=U5,U5&lt;=T5,AJ5=TRUE,AC5="无"),"PASS","CHECK")</x:f>
        <x:v>PASS</x:v>
      </x:c>
    </x:row>
    <x:row r="6">
      <x:c r="A6" s="10" t="str">
        <x:v>OP-PUB-005</x:v>
      </x:c>
      <x:c r="B6" s="8" t="str">
        <x:v>埃菲尔现代三居室</x:v>
      </x:c>
      <x:c r="C6" s="8" t="str">
        <x:v>官网公开案例+AI补全</x:v>
      </x:c>
      <x:c r="D6" s="9" t="b">
        <x:v>1</x:v>
      </x:c>
      <x:c r="E6" s="8" t="str">
        <x:v>https://www.oppein.cn/homematch/605</x:v>
      </x:c>
      <x:c r="F6" s="8" t="str">
        <x:v>https://oppein-shop.obs.cn-south-1.myhuaweicloud.com/fend/productimage/2019041214100399412300225344.jpg</x:v>
      </x:c>
      <x:c r="G6" s="8" t="str">
        <x:v>案例标题;案例URL;主图URL;户型(标题显式)</x:v>
      </x:c>
      <x:c r="H6" s="8" t="str">
        <x:v>城市;家庭结构;总预算;标准风格映射;配色;材质;收纳;灯光;成交标签;修改次数;满意度;交期;风险</x:v>
      </x:c>
      <x:c r="I6" s="8" t="str">
        <x:v>华南</x:v>
      </x:c>
      <x:c r="J6" s="8" t="str">
        <x:v>珠海</x:v>
      </x:c>
      <x:c r="K6" s="8" t="str">
        <x:v>三房两厅</x:v>
      </x:c>
      <x:c r="L6" s="8" t="str">
        <x:v>官网标题显式</x:v>
      </x:c>
      <x:c r="M6" s="11" t="n">
        <x:v>111</x:v>
      </x:c>
      <x:c r="N6" s="8" t="str">
        <x:v>AI模拟</x:v>
      </x:c>
      <x:c r="O6" s="8" t="str">
        <x:v>现代简约</x:v>
      </x:c>
      <x:c r="P6" s="8" t="str">
        <x:v>官网标题＋AI归一化</x:v>
      </x:c>
      <x:c r="Q6" s="8" t="str">
        <x:v>极简</x:v>
      </x:c>
      <x:c r="R6" s="8" t="str">
        <x:v>明亮有序</x:v>
      </x:c>
      <x:c r="S6" s="12" t="n">
        <x:v>212000</x:v>
      </x:c>
      <x:c r="T6" s="12" t="n">
        <x:v>259000</x:v>
      </x:c>
      <x:c r="U6" s="12" t="n">
        <x:v>235000</x:v>
      </x:c>
      <x:c r="V6" s="8" t="str">
        <x:v>夫妻+1名儿童</x:v>
      </x:c>
      <x:c r="W6" s="8" t="str">
        <x:v>儿童安全;成长收纳</x:v>
      </x:c>
      <x:c r="X6" s="8" t="str">
        <x:v>米白;浅灰;木色</x:v>
      </x:c>
      <x:c r="Y6" s="8" t="str">
        <x:v>哑光板;岩板;玻璃</x:v>
      </x:c>
      <x:c r="Z6" s="13" t="n">
        <x:v>0.86</x:v>
      </x:c>
      <x:c r="AA6" s="8" t="str">
        <x:v>混合照明</x:v>
      </x:c>
      <x:c r="AB6" s="8" t="str">
        <x:v>AI模拟已成交标签</x:v>
      </x:c>
      <x:c r="AC6" s="8" t="str">
        <x:v>无</x:v>
      </x:c>
      <x:c r="AD6" s="8" t="n">
        <x:v>1</x:v>
      </x:c>
      <x:c r="AE6" s="14" t="n">
        <x:v>4.6</x:v>
      </x:c>
      <x:c r="AF6" s="8" t="n">
        <x:v>72</x:v>
      </x:c>
      <x:c r="AG6" s="8" t="str">
        <x:v>预算接近上限;跨品类交期</x:v>
      </x:c>
      <x:c r="AH6" s="8" t="str">
        <x:v>仅限内部研究/原页面访问</x:v>
      </x:c>
      <x:c r="AI6" s="8" t="str">
        <x:v>否（未获训练授权）</x:v>
      </x:c>
      <x:c r="AJ6" s="9" t="b">
        <x:v>1</x:v>
      </x:c>
      <x:c r="AK6" s="8" t="str">
        <x:v>官网公开主图URL（不嵌入、不再分发）</x:v>
      </x:c>
      <x:c r="AL6" s="15" t="n">
        <x:v>46220</x:v>
      </x:c>
      <x:c r="AM6" s="8" t="n">
        <x:f>COUNTIF($A$2:$A$61,A6)</x:f>
        <x:v>1</x:v>
      </x:c>
      <x:c r="AN6" s="8" t="str">
        <x:f>IF(AND(AM6=1,M6&gt;=30,M6&lt;=220,S6&lt;=U6,U6&lt;=T6,AJ6=TRUE,AC6="无"),"PASS","CHECK")</x:f>
        <x:v>PASS</x:v>
      </x:c>
    </x:row>
    <x:row r="7">
      <x:c r="A7" s="10" t="str">
        <x:v>OP-PUB-006</x:v>
      </x:c>
      <x:c r="B7" s="8" t="str">
        <x:v>立方体现代简约四居室</x:v>
      </x:c>
      <x:c r="C7" s="8" t="str">
        <x:v>官网公开案例+AI补全</x:v>
      </x:c>
      <x:c r="D7" s="9" t="b">
        <x:v>1</x:v>
      </x:c>
      <x:c r="E7" s="8" t="str">
        <x:v>https://www.oppein.cn/homematch/582</x:v>
      </x:c>
      <x:c r="F7" s="8" t="str">
        <x:v>https://oppein-shop.obs.cn-south-1.myhuaweicloud.com/fend/productimage/2017083114550478260300315784.jpg</x:v>
      </x:c>
      <x:c r="G7" s="8" t="str">
        <x:v>案例标题;案例URL;主图URL;户型(标题显式)</x:v>
      </x:c>
      <x:c r="H7" s="8" t="str">
        <x:v>城市;家庭结构;总预算;标准风格映射;配色;材质;收纳;灯光;成交标签;修改次数;满意度;交期;风险</x:v>
      </x:c>
      <x:c r="I7" s="8" t="str">
        <x:v>华南</x:v>
      </x:c>
      <x:c r="J7" s="8" t="str">
        <x:v>惠州</x:v>
      </x:c>
      <x:c r="K7" s="8" t="str">
        <x:v>四房两厅</x:v>
      </x:c>
      <x:c r="L7" s="8" t="str">
        <x:v>官网标题显式</x:v>
      </x:c>
      <x:c r="M7" s="11" t="n">
        <x:v>138</x:v>
      </x:c>
      <x:c r="N7" s="8" t="str">
        <x:v>AI模拟</x:v>
      </x:c>
      <x:c r="O7" s="8" t="str">
        <x:v>现代简约</x:v>
      </x:c>
      <x:c r="P7" s="8" t="str">
        <x:v>官网标题＋AI归一化</x:v>
      </x:c>
      <x:c r="Q7" s="8" t="str">
        <x:v>极简</x:v>
      </x:c>
      <x:c r="R7" s="8" t="str">
        <x:v>明亮有序</x:v>
      </x:c>
      <x:c r="S7" s="12" t="n">
        <x:v>236000</x:v>
      </x:c>
      <x:c r="T7" s="12" t="n">
        <x:v>288000</x:v>
      </x:c>
      <x:c r="U7" s="12" t="n">
        <x:v>262000</x:v>
      </x:c>
      <x:c r="V7" s="8" t="str">
        <x:v>夫妻+老人</x:v>
      </x:c>
      <x:c r="W7" s="8" t="str">
        <x:v>适老;夜间照明;低位收纳</x:v>
      </x:c>
      <x:c r="X7" s="8" t="str">
        <x:v>米白;浅灰;木色</x:v>
      </x:c>
      <x:c r="Y7" s="8" t="str">
        <x:v>哑光板;岩板;玻璃</x:v>
      </x:c>
      <x:c r="Z7" s="13" t="n">
        <x:v>0.7799999999999999</x:v>
      </x:c>
      <x:c r="AA7" s="8" t="str">
        <x:v>混合照明</x:v>
      </x:c>
      <x:c r="AB7" s="8" t="str">
        <x:v>AI模拟已成交标签</x:v>
      </x:c>
      <x:c r="AC7" s="8" t="str">
        <x:v>无</x:v>
      </x:c>
      <x:c r="AD7" s="8" t="n">
        <x:v>2</x:v>
      </x:c>
      <x:c r="AE7" s="14" t="n">
        <x:v>4.75</x:v>
      </x:c>
      <x:c r="AF7" s="8" t="n">
        <x:v>77</x:v>
      </x:c>
      <x:c r="AG7" s="8" t="str">
        <x:v>图片与落地材质需复核</x:v>
      </x:c>
      <x:c r="AH7" s="8" t="str">
        <x:v>仅限内部研究/原页面访问</x:v>
      </x:c>
      <x:c r="AI7" s="8" t="str">
        <x:v>否（未获训练授权）</x:v>
      </x:c>
      <x:c r="AJ7" s="9" t="b">
        <x:v>1</x:v>
      </x:c>
      <x:c r="AK7" s="8" t="str">
        <x:v>官网公开主图URL（不嵌入、不再分发）</x:v>
      </x:c>
      <x:c r="AL7" s="15" t="n">
        <x:v>46220</x:v>
      </x:c>
      <x:c r="AM7" s="8" t="n">
        <x:f>COUNTIF($A$2:$A$61,A7)</x:f>
        <x:v>1</x:v>
      </x:c>
      <x:c r="AN7" s="8" t="str">
        <x:f>IF(AND(AM7=1,M7&gt;=30,M7&lt;=220,S7&lt;=U7,U7&lt;=T7,AJ7=TRUE,AC7="无"),"PASS","CHECK")</x:f>
        <x:v>PASS</x:v>
      </x:c>
    </x:row>
    <x:row r="8">
      <x:c r="A8" s="10" t="str">
        <x:v>OP-PUB-007</x:v>
      </x:c>
      <x:c r="B8" s="8" t="str">
        <x:v>摩尔庄园欧式田园三居室</x:v>
      </x:c>
      <x:c r="C8" s="8" t="str">
        <x:v>官网公开案例+AI补全</x:v>
      </x:c>
      <x:c r="D8" s="9" t="b">
        <x:v>1</x:v>
      </x:c>
      <x:c r="E8" s="8" t="str">
        <x:v>https://www.oppein.cn/homematch/584</x:v>
      </x:c>
      <x:c r="F8" s="8" t="str">
        <x:v>https://oppein-shop.obs.cn-south-1.myhuaweicloud.com/fend/productimage/2017083114431374244600194087.jpg</x:v>
      </x:c>
      <x:c r="G8" s="8" t="str">
        <x:v>案例标题;案例URL;主图URL;户型(标题显式)</x:v>
      </x:c>
      <x:c r="H8" s="8" t="str">
        <x:v>城市;家庭结构;总预算;标准风格映射;配色;材质;收纳;灯光;成交标签;修改次数;满意度;交期;风险</x:v>
      </x:c>
      <x:c r="I8" s="8" t="str">
        <x:v>华南</x:v>
      </x:c>
      <x:c r="J8" s="8" t="str">
        <x:v>广州</x:v>
      </x:c>
      <x:c r="K8" s="8" t="str">
        <x:v>三房两厅</x:v>
      </x:c>
      <x:c r="L8" s="8" t="str">
        <x:v>官网标题显式</x:v>
      </x:c>
      <x:c r="M8" s="11" t="n">
        <x:v>108</x:v>
      </x:c>
      <x:c r="N8" s="8" t="str">
        <x:v>AI模拟</x:v>
      </x:c>
      <x:c r="O8" s="8" t="str">
        <x:v>混合</x:v>
      </x:c>
      <x:c r="P8" s="8" t="str">
        <x:v>官网标题＋AI归一化</x:v>
      </x:c>
      <x:c r="Q8" s="8" t="str">
        <x:v>跨风格混搭</x:v>
      </x:c>
      <x:c r="R8" s="8" t="str">
        <x:v>个性丰富</x:v>
      </x:c>
      <x:c r="S8" s="12" t="n">
        <x:v>205000</x:v>
      </x:c>
      <x:c r="T8" s="12" t="n">
        <x:v>251000</x:v>
      </x:c>
      <x:c r="U8" s="12" t="n">
        <x:v>228000</x:v>
      </x:c>
      <x:c r="V8" s="8" t="str">
        <x:v>三代同堂</x:v>
      </x:c>
      <x:c r="W8" s="8" t="str">
        <x:v>适老;夜间照明;低位收纳</x:v>
      </x:c>
      <x:c r="X8" s="8" t="str">
        <x:v>米白;木色;主题跳色</x:v>
      </x:c>
      <x:c r="Y8" s="8" t="str">
        <x:v>木纹板;织物;金属</x:v>
      </x:c>
      <x:c r="Z8" s="13" t="n">
        <x:v>0.66</x:v>
      </x:c>
      <x:c r="AA8" s="8" t="str">
        <x:v>按场景分区照明</x:v>
      </x:c>
      <x:c r="AB8" s="8" t="str">
        <x:v>AI模拟已成交标签</x:v>
      </x:c>
      <x:c r="AC8" s="8" t="str">
        <x:v>无</x:v>
      </x:c>
      <x:c r="AD8" s="8" t="n">
        <x:v>3</x:v>
      </x:c>
      <x:c r="AE8" s="14" t="n">
        <x:v>4</x:v>
      </x:c>
      <x:c r="AF8" s="8" t="n">
        <x:v>82</x:v>
      </x:c>
      <x:c r="AG8" s="8" t="str">
        <x:v>图片与落地材质需复核</x:v>
      </x:c>
      <x:c r="AH8" s="8" t="str">
        <x:v>仅限内部研究/原页面访问</x:v>
      </x:c>
      <x:c r="AI8" s="8" t="str">
        <x:v>否（未获训练授权）</x:v>
      </x:c>
      <x:c r="AJ8" s="9" t="b">
        <x:v>1</x:v>
      </x:c>
      <x:c r="AK8" s="8" t="str">
        <x:v>官网公开主图URL（不嵌入、不再分发）</x:v>
      </x:c>
      <x:c r="AL8" s="15" t="n">
        <x:v>46220</x:v>
      </x:c>
      <x:c r="AM8" s="8" t="n">
        <x:f>COUNTIF($A$2:$A$61,A8)</x:f>
        <x:v>1</x:v>
      </x:c>
      <x:c r="AN8" s="8" t="str">
        <x:f>IF(AND(AM8=1,M8&gt;=30,M8&lt;=220,S8&lt;=U8,U8&lt;=T8,AJ8=TRUE,AC8="无"),"PASS","CHECK")</x:f>
        <x:v>PASS</x:v>
      </x:c>
    </x:row>
    <x:row r="9">
      <x:c r="A9" s="10" t="str">
        <x:v>OP-PUB-008</x:v>
      </x:c>
      <x:c r="B9" s="8" t="str">
        <x:v>桂香梨现代简约三居室</x:v>
      </x:c>
      <x:c r="C9" s="8" t="str">
        <x:v>官网公开案例+AI补全</x:v>
      </x:c>
      <x:c r="D9" s="9" t="b">
        <x:v>1</x:v>
      </x:c>
      <x:c r="E9" s="8" t="str">
        <x:v>https://www.oppein.cn/homematch/587</x:v>
      </x:c>
      <x:c r="F9" s="8" t="str">
        <x:v>https://oppein-shop.obs.cn-south-1.myhuaweicloud.com/fend/productimage/2017083111360955135400280043.jpg</x:v>
      </x:c>
      <x:c r="G9" s="8" t="str">
        <x:v>案例标题;案例URL;主图URL;户型(标题显式)</x:v>
      </x:c>
      <x:c r="H9" s="8" t="str">
        <x:v>城市;家庭结构;总预算;标准风格映射;配色;材质;收纳;灯光;成交标签;修改次数;满意度;交期;风险</x:v>
      </x:c>
      <x:c r="I9" s="8" t="str">
        <x:v>华南</x:v>
      </x:c>
      <x:c r="J9" s="8" t="str">
        <x:v>深圳</x:v>
      </x:c>
      <x:c r="K9" s="8" t="str">
        <x:v>三房两厅</x:v>
      </x:c>
      <x:c r="L9" s="8" t="str">
        <x:v>官网标题显式</x:v>
      </x:c>
      <x:c r="M9" s="11" t="n">
        <x:v>115</x:v>
      </x:c>
      <x:c r="N9" s="8" t="str">
        <x:v>AI模拟</x:v>
      </x:c>
      <x:c r="O9" s="8" t="str">
        <x:v>现代简约</x:v>
      </x:c>
      <x:c r="P9" s="8" t="str">
        <x:v>官网标题＋AI归一化</x:v>
      </x:c>
      <x:c r="Q9" s="8" t="str">
        <x:v>极简</x:v>
      </x:c>
      <x:c r="R9" s="8" t="str">
        <x:v>明亮有序</x:v>
      </x:c>
      <x:c r="S9" s="12" t="n">
        <x:v>208000</x:v>
      </x:c>
      <x:c r="T9" s="12" t="n">
        <x:v>254000</x:v>
      </x:c>
      <x:c r="U9" s="12" t="n">
        <x:v>231000</x:v>
      </x:c>
      <x:c r="V9" s="8" t="str">
        <x:v>夫妻+老人</x:v>
      </x:c>
      <x:c r="W9" s="8" t="str">
        <x:v>适老;夜间照明;低位收纳</x:v>
      </x:c>
      <x:c r="X9" s="8" t="str">
        <x:v>米白;浅灰;木色</x:v>
      </x:c>
      <x:c r="Y9" s="8" t="str">
        <x:v>哑光板;岩板;玻璃</x:v>
      </x:c>
      <x:c r="Z9" s="13" t="n">
        <x:v>0.82</x:v>
      </x:c>
      <x:c r="AA9" s="8" t="str">
        <x:v>混合照明</x:v>
      </x:c>
      <x:c r="AB9" s="8" t="str">
        <x:v>AI模拟已成交标签</x:v>
      </x:c>
      <x:c r="AC9" s="8" t="str">
        <x:v>无</x:v>
      </x:c>
      <x:c r="AD9" s="8" t="n">
        <x:v>4</x:v>
      </x:c>
      <x:c r="AE9" s="14" t="n">
        <x:v>4.15</x:v>
      </x:c>
      <x:c r="AF9" s="8" t="n">
        <x:v>52</x:v>
      </x:c>
      <x:c r="AG9" s="8" t="str">
        <x:v>图片与落地材质需复核</x:v>
      </x:c>
      <x:c r="AH9" s="8" t="str">
        <x:v>仅限内部研究/原页面访问</x:v>
      </x:c>
      <x:c r="AI9" s="8" t="str">
        <x:v>否（未获训练授权）</x:v>
      </x:c>
      <x:c r="AJ9" s="9" t="b">
        <x:v>1</x:v>
      </x:c>
      <x:c r="AK9" s="8" t="str">
        <x:v>官网公开主图URL（不嵌入、不再分发）</x:v>
      </x:c>
      <x:c r="AL9" s="15" t="n">
        <x:v>46220</x:v>
      </x:c>
      <x:c r="AM9" s="8" t="n">
        <x:f>COUNTIF($A$2:$A$61,A9)</x:f>
        <x:v>1</x:v>
      </x:c>
      <x:c r="AN9" s="8" t="str">
        <x:f>IF(AND(AM9=1,M9&gt;=30,M9&lt;=220,S9&lt;=U9,U9&lt;=T9,AJ9=TRUE,AC9="无"),"PASS","CHECK")</x:f>
        <x:v>PASS</x:v>
      </x:c>
    </x:row>
    <x:row r="10">
      <x:c r="A10" s="10" t="str">
        <x:v>OP-PUB-009</x:v>
      </x:c>
      <x:c r="B10" s="8" t="str">
        <x:v>美式田园风格全屋方案</x:v>
      </x:c>
      <x:c r="C10" s="8" t="str">
        <x:v>官网公开案例+AI补全</x:v>
      </x:c>
      <x:c r="D10" s="9" t="b">
        <x:v>1</x:v>
      </x:c>
      <x:c r="E10" s="8" t="str">
        <x:v>https://www.oppein.cn/homematch/602</x:v>
      </x:c>
      <x:c r="F10" s="8" t="str">
        <x:v>https://oppein-shop.obs.cn-south-1.myhuaweicloud.com/fend/productimage/2018110214423606476400846193.jpg</x:v>
      </x:c>
      <x:c r="G10" s="8" t="str">
        <x:v>案例标题;案例URL;主图URL</x:v>
      </x:c>
      <x:c r="H10" s="8" t="str">
        <x:v>城市;家庭结构;总预算;标准风格映射;配色;材质;收纳;灯光;成交标签;修改次数;满意度;交期;风险</x:v>
      </x:c>
      <x:c r="I10" s="8" t="str">
        <x:v>华南</x:v>
      </x:c>
      <x:c r="J10" s="8" t="str">
        <x:v>佛山</x:v>
      </x:c>
      <x:c r="K10" s="8" t="str">
        <x:v>四房两厅</x:v>
      </x:c>
      <x:c r="L10" s="8" t="str">
        <x:v>AI模拟</x:v>
      </x:c>
      <x:c r="M10" s="11" t="n">
        <x:v>142</x:v>
      </x:c>
      <x:c r="N10" s="8" t="str">
        <x:v>AI模拟</x:v>
      </x:c>
      <x:c r="O10" s="8" t="str">
        <x:v>混合</x:v>
      </x:c>
      <x:c r="P10" s="8" t="str">
        <x:v>官网标题＋AI归一化</x:v>
      </x:c>
      <x:c r="Q10" s="8" t="str">
        <x:v>跨风格混搭</x:v>
      </x:c>
      <x:c r="R10" s="8" t="str">
        <x:v>个性丰富</x:v>
      </x:c>
      <x:c r="S10" s="12" t="n">
        <x:v>278000</x:v>
      </x:c>
      <x:c r="T10" s="12" t="n">
        <x:v>340000</x:v>
      </x:c>
      <x:c r="U10" s="12" t="n">
        <x:v>309000</x:v>
      </x:c>
      <x:c r="V10" s="8" t="str">
        <x:v>夫妻+老人</x:v>
      </x:c>
      <x:c r="W10" s="8" t="str">
        <x:v>适老;夜间照明;低位收纳</x:v>
      </x:c>
      <x:c r="X10" s="8" t="str">
        <x:v>米白;木色;主题跳色</x:v>
      </x:c>
      <x:c r="Y10" s="8" t="str">
        <x:v>木纹板;织物;金属</x:v>
      </x:c>
      <x:c r="Z10" s="13" t="n">
        <x:v>0.7000000000000001</x:v>
      </x:c>
      <x:c r="AA10" s="8" t="str">
        <x:v>按场景分区照明</x:v>
      </x:c>
      <x:c r="AB10" s="8" t="str">
        <x:v>AI模拟已成交标签</x:v>
      </x:c>
      <x:c r="AC10" s="8" t="str">
        <x:v>无</x:v>
      </x:c>
      <x:c r="AD10" s="8" t="n">
        <x:v>1</x:v>
      </x:c>
      <x:c r="AE10" s="14" t="n">
        <x:v>4.3</x:v>
      </x:c>
      <x:c r="AF10" s="8" t="n">
        <x:v>57</x:v>
      </x:c>
      <x:c r="AG10" s="8" t="str">
        <x:v>预算接近上限;跨品类交期</x:v>
      </x:c>
      <x:c r="AH10" s="8" t="str">
        <x:v>仅限内部研究/原页面访问</x:v>
      </x:c>
      <x:c r="AI10" s="8" t="str">
        <x:v>否（未获训练授权）</x:v>
      </x:c>
      <x:c r="AJ10" s="9" t="b">
        <x:v>1</x:v>
      </x:c>
      <x:c r="AK10" s="8" t="str">
        <x:v>官网公开主图URL（不嵌入、不再分发）</x:v>
      </x:c>
      <x:c r="AL10" s="15" t="n">
        <x:v>46220</x:v>
      </x:c>
      <x:c r="AM10" s="8" t="n">
        <x:f>COUNTIF($A$2:$A$61,A10)</x:f>
        <x:v>1</x:v>
      </x:c>
      <x:c r="AN10" s="8" t="str">
        <x:f>IF(AND(AM10=1,M10&gt;=30,M10&lt;=220,S10&lt;=U10,U10&lt;=T10,AJ10=TRUE,AC10="无"),"PASS","CHECK")</x:f>
        <x:v>PASS</x:v>
      </x:c>
    </x:row>
    <x:row r="11">
      <x:c r="A11" s="10" t="str">
        <x:v>OP-PUB-010</x:v>
      </x:c>
      <x:c r="B11" s="8" t="str">
        <x:v>轻奢北欧风98.00㎡</x:v>
      </x:c>
      <x:c r="C11" s="8" t="str">
        <x:v>官网公开案例+AI补全</x:v>
      </x:c>
      <x:c r="D11" s="9" t="b">
        <x:v>1</x:v>
      </x:c>
      <x:c r="E11" s="8" t="str">
        <x:v>https://www.oppein.cn/homematch/604</x:v>
      </x:c>
      <x:c r="F11" s="8" t="str">
        <x:v>https://oppein-shop.obs.cn-south-1.myhuaweicloud.com/fend/productimage/2019012417000586110200580104.jpg</x:v>
      </x:c>
      <x:c r="G11" s="8" t="str">
        <x:v>案例标题;案例URL;主图URL;面积(标题显式);详情页抽查</x:v>
      </x:c>
      <x:c r="H11" s="8" t="str">
        <x:v>城市;家庭结构;总预算;标准风格映射;配色;材质;收纳;灯光;成交标签;修改次数;满意度;交期;风险</x:v>
      </x:c>
      <x:c r="I11" s="8" t="str">
        <x:v>华南</x:v>
      </x:c>
      <x:c r="J11" s="8" t="str">
        <x:v>东莞</x:v>
      </x:c>
      <x:c r="K11" s="8" t="str">
        <x:v>两房两厅</x:v>
      </x:c>
      <x:c r="L11" s="8" t="str">
        <x:v>AI模拟</x:v>
      </x:c>
      <x:c r="M11" s="11" t="n">
        <x:v>98</x:v>
      </x:c>
      <x:c r="N11" s="8" t="str">
        <x:v>官网标题显式</x:v>
      </x:c>
      <x:c r="O11" s="8" t="str">
        <x:v>现代轻奢</x:v>
      </x:c>
      <x:c r="P11" s="8" t="str">
        <x:v>官网详情/标题＋AI归一化</x:v>
      </x:c>
      <x:c r="Q11" s="8" t="str">
        <x:v>意式轻奢</x:v>
      </x:c>
      <x:c r="R11" s="8" t="str">
        <x:v>沉稳精致</x:v>
      </x:c>
      <x:c r="S11" s="12" t="n">
        <x:v>222000</x:v>
      </x:c>
      <x:c r="T11" s="12" t="n">
        <x:v>272000</x:v>
      </x:c>
      <x:c r="U11" s="12" t="n">
        <x:v>247000</x:v>
      </x:c>
      <x:c r="V11" s="8" t="str">
        <x:v>新婚夫妻</x:v>
      </x:c>
      <x:c r="W11" s="8" t="str">
        <x:v>强收纳;易清洁</x:v>
      </x:c>
      <x:c r="X11" s="8" t="str">
        <x:v>暖灰;香槟金;深木</x:v>
      </x:c>
      <x:c r="Y11" s="8" t="str">
        <x:v>岩板;金属;玻璃;肤感板</x:v>
      </x:c>
      <x:c r="Z11" s="13" t="n">
        <x:v>0.76</x:v>
      </x:c>
      <x:c r="AA11" s="8" t="str">
        <x:v>无主灯+重点照明</x:v>
      </x:c>
      <x:c r="AB11" s="8" t="str">
        <x:v>AI模拟已成交标签</x:v>
      </x:c>
      <x:c r="AC11" s="8" t="str">
        <x:v>无</x:v>
      </x:c>
      <x:c r="AD11" s="8" t="n">
        <x:v>2</x:v>
      </x:c>
      <x:c r="AE11" s="14" t="n">
        <x:v>4.45</x:v>
      </x:c>
      <x:c r="AF11" s="8" t="n">
        <x:v>62</x:v>
      </x:c>
      <x:c r="AG11" s="8" t="str">
        <x:v>图片与落地材质需复核</x:v>
      </x:c>
      <x:c r="AH11" s="8" t="str">
        <x:v>仅限内部研究/原页面访问</x:v>
      </x:c>
      <x:c r="AI11" s="8" t="str">
        <x:v>否（未获训练授权）</x:v>
      </x:c>
      <x:c r="AJ11" s="9" t="b">
        <x:v>1</x:v>
      </x:c>
      <x:c r="AK11" s="8" t="str">
        <x:v>官网公开主图URL（不嵌入、不再分发）</x:v>
      </x:c>
      <x:c r="AL11" s="15" t="n">
        <x:v>46220</x:v>
      </x:c>
      <x:c r="AM11" s="8" t="n">
        <x:f>COUNTIF($A$2:$A$61,A11)</x:f>
        <x:v>1</x:v>
      </x:c>
      <x:c r="AN11" s="8" t="str">
        <x:f>IF(AND(AM11=1,M11&gt;=30,M11&lt;=220,S11&lt;=U11,U11&lt;=T11,AJ11=TRUE,AC11="无"),"PASS","CHECK")</x:f>
        <x:v>PASS</x:v>
      </x:c>
    </x:row>
    <x:row r="12">
      <x:c r="A12" s="10" t="str">
        <x:v>OP-PUB-011</x:v>
      </x:c>
      <x:c r="B12" s="8" t="str">
        <x:v>年轻北欧风格三房两厅</x:v>
      </x:c>
      <x:c r="C12" s="8" t="str">
        <x:v>官网公开案例+AI补全</x:v>
      </x:c>
      <x:c r="D12" s="9" t="b">
        <x:v>1</x:v>
      </x:c>
      <x:c r="E12" s="8" t="str">
        <x:v>https://www.oppein.cn/homematch/603</x:v>
      </x:c>
      <x:c r="F12" s="8" t="str">
        <x:v>https://oppein-shop.obs.cn-south-1.myhuaweicloud.com/fend/productimage/2018110215491994623900617470.jpg</x:v>
      </x:c>
      <x:c r="G12" s="8" t="str">
        <x:v>案例标题;案例URL;主图URL;户型(标题显式)</x:v>
      </x:c>
      <x:c r="H12" s="8" t="str">
        <x:v>城市;家庭结构;总预算;标准风格映射;配色;材质;收纳;灯光;成交标签;修改次数;满意度;交期;风险</x:v>
      </x:c>
      <x:c r="I12" s="8" t="str">
        <x:v>华南</x:v>
      </x:c>
      <x:c r="J12" s="8" t="str">
        <x:v>珠海</x:v>
      </x:c>
      <x:c r="K12" s="8" t="str">
        <x:v>三房两厅</x:v>
      </x:c>
      <x:c r="L12" s="8" t="str">
        <x:v>官网标题显式</x:v>
      </x:c>
      <x:c r="M12" s="11" t="n">
        <x:v>102</x:v>
      </x:c>
      <x:c r="N12" s="8" t="str">
        <x:v>AI模拟</x:v>
      </x:c>
      <x:c r="O12" s="8" t="str">
        <x:v>现代原木</x:v>
      </x:c>
      <x:c r="P12" s="8" t="str">
        <x:v>官网标题＋AI归一化</x:v>
      </x:c>
      <x:c r="Q12" s="8" t="str">
        <x:v>自然北欧</x:v>
      </x:c>
      <x:c r="R12" s="8" t="str">
        <x:v>温暖松弛</x:v>
      </x:c>
      <x:c r="S12" s="12" t="n">
        <x:v>183000</x:v>
      </x:c>
      <x:c r="T12" s="12" t="n">
        <x:v>223000</x:v>
      </x:c>
      <x:c r="U12" s="12" t="n">
        <x:v>203000</x:v>
      </x:c>
      <x:c r="V12" s="8" t="str">
        <x:v>三代同堂</x:v>
      </x:c>
      <x:c r="W12" s="8" t="str">
        <x:v>适老;夜间照明;低位收纳</x:v>
      </x:c>
      <x:c r="X12" s="8" t="str">
        <x:v>米白;浅橡木;暖灰</x:v>
      </x:c>
      <x:c r="Y12" s="8" t="str">
        <x:v>木纹板;哑光板;织物</x:v>
      </x:c>
      <x:c r="Z12" s="13" t="n">
        <x:v>0.74</x:v>
      </x:c>
      <x:c r="AA12" s="8" t="str">
        <x:v>暖光无主灯</x:v>
      </x:c>
      <x:c r="AB12" s="8" t="str">
        <x:v>AI模拟已成交标签</x:v>
      </x:c>
      <x:c r="AC12" s="8" t="str">
        <x:v>无</x:v>
      </x:c>
      <x:c r="AD12" s="8" t="n">
        <x:v>3</x:v>
      </x:c>
      <x:c r="AE12" s="14" t="n">
        <x:v>4.6</x:v>
      </x:c>
      <x:c r="AF12" s="8" t="n">
        <x:v>67</x:v>
      </x:c>
      <x:c r="AG12" s="8" t="str">
        <x:v>图片与落地材质需复核</x:v>
      </x:c>
      <x:c r="AH12" s="8" t="str">
        <x:v>仅限内部研究/原页面访问</x:v>
      </x:c>
      <x:c r="AI12" s="8" t="str">
        <x:v>否（未获训练授权）</x:v>
      </x:c>
      <x:c r="AJ12" s="9" t="b">
        <x:v>1</x:v>
      </x:c>
      <x:c r="AK12" s="8" t="str">
        <x:v>官网公开主图URL（不嵌入、不再分发）</x:v>
      </x:c>
      <x:c r="AL12" s="15" t="n">
        <x:v>46220</x:v>
      </x:c>
      <x:c r="AM12" s="8" t="n">
        <x:f>COUNTIF($A$2:$A$61,A12)</x:f>
        <x:v>1</x:v>
      </x:c>
      <x:c r="AN12" s="8" t="str">
        <x:f>IF(AND(AM12=1,M12&gt;=30,M12&lt;=220,S12&lt;=U12,U12&lt;=T12,AJ12=TRUE,AC12="无"),"PASS","CHECK")</x:f>
        <x:v>PASS</x:v>
      </x:c>
    </x:row>
    <x:row r="13">
      <x:c r="A13" s="10" t="str">
        <x:v>OP-PUB-012</x:v>
      </x:c>
      <x:c r="B13" s="8" t="str">
        <x:v>现代风格全屋家具</x:v>
      </x:c>
      <x:c r="C13" s="8" t="str">
        <x:v>官网公开案例+AI补全</x:v>
      </x:c>
      <x:c r="D13" s="9" t="b">
        <x:v>1</x:v>
      </x:c>
      <x:c r="E13" s="8" t="str">
        <x:v>https://www.oppein.cn/homematch/601</x:v>
      </x:c>
      <x:c r="F13" s="8" t="str">
        <x:v>https://oppein-shop.obs.cn-south-1.myhuaweicloud.com/fend/productimage/2018110510334770251800692638.jpg</x:v>
      </x:c>
      <x:c r="G13" s="8" t="str">
        <x:v>案例标题;案例URL;主图URL</x:v>
      </x:c>
      <x:c r="H13" s="8" t="str">
        <x:v>城市;家庭结构;总预算;标准风格映射;配色;材质;收纳;灯光;成交标签;修改次数;满意度;交期;风险</x:v>
      </x:c>
      <x:c r="I13" s="8" t="str">
        <x:v>华南</x:v>
      </x:c>
      <x:c r="J13" s="8" t="str">
        <x:v>惠州</x:v>
      </x:c>
      <x:c r="K13" s="8" t="str">
        <x:v>两房两厅</x:v>
      </x:c>
      <x:c r="L13" s="8" t="str">
        <x:v>AI模拟</x:v>
      </x:c>
      <x:c r="M13" s="11" t="n">
        <x:v>79</x:v>
      </x:c>
      <x:c r="N13" s="8" t="str">
        <x:v>AI模拟</x:v>
      </x:c>
      <x:c r="O13" s="8" t="str">
        <x:v>现代简约</x:v>
      </x:c>
      <x:c r="P13" s="8" t="str">
        <x:v>官网标题＋AI归一化</x:v>
      </x:c>
      <x:c r="Q13" s="8" t="str">
        <x:v>极简</x:v>
      </x:c>
      <x:c r="R13" s="8" t="str">
        <x:v>明亮有序</x:v>
      </x:c>
      <x:c r="S13" s="12" t="n">
        <x:v>140000</x:v>
      </x:c>
      <x:c r="T13" s="12" t="n">
        <x:v>172000</x:v>
      </x:c>
      <x:c r="U13" s="12" t="n">
        <x:v>156000</x:v>
      </x:c>
      <x:c r="V13" s="8" t="str">
        <x:v>夫妻+宠物</x:v>
      </x:c>
      <x:c r="W13" s="8" t="str">
        <x:v>适宠;耐磨易清洁</x:v>
      </x:c>
      <x:c r="X13" s="8" t="str">
        <x:v>米白;浅灰;木色</x:v>
      </x:c>
      <x:c r="Y13" s="8" t="str">
        <x:v>哑光板;岩板;玻璃</x:v>
      </x:c>
      <x:c r="Z13" s="13" t="n">
        <x:v>0.7999999999999999</x:v>
      </x:c>
      <x:c r="AA13" s="8" t="str">
        <x:v>混合照明</x:v>
      </x:c>
      <x:c r="AB13" s="8" t="str">
        <x:v>AI模拟已成交标签</x:v>
      </x:c>
      <x:c r="AC13" s="8" t="str">
        <x:v>无</x:v>
      </x:c>
      <x:c r="AD13" s="8" t="n">
        <x:v>4</x:v>
      </x:c>
      <x:c r="AE13" s="14" t="n">
        <x:v>4.75</x:v>
      </x:c>
      <x:c r="AF13" s="8" t="n">
        <x:v>72</x:v>
      </x:c>
      <x:c r="AG13" s="8" t="str">
        <x:v>图片与落地材质需复核</x:v>
      </x:c>
      <x:c r="AH13" s="8" t="str">
        <x:v>仅限内部研究/原页面访问</x:v>
      </x:c>
      <x:c r="AI13" s="8" t="str">
        <x:v>否（未获训练授权）</x:v>
      </x:c>
      <x:c r="AJ13" s="9" t="b">
        <x:v>1</x:v>
      </x:c>
      <x:c r="AK13" s="8" t="str">
        <x:v>官网公开主图URL（不嵌入、不再分发）</x:v>
      </x:c>
      <x:c r="AL13" s="15" t="n">
        <x:v>46220</x:v>
      </x:c>
      <x:c r="AM13" s="8" t="n">
        <x:f>COUNTIF($A$2:$A$61,A13)</x:f>
        <x:v>1</x:v>
      </x:c>
      <x:c r="AN13" s="8" t="str">
        <x:f>IF(AND(AM13=1,M13&gt;=30,M13&lt;=220,S13&lt;=U13,U13&lt;=T13,AJ13=TRUE,AC13="无"),"PASS","CHECK")</x:f>
        <x:v>PASS</x:v>
      </x:c>
    </x:row>
    <x:row r="14">
      <x:c r="A14" s="10" t="str">
        <x:v>OP-PUB-013</x:v>
      </x:c>
      <x:c r="B14" s="8" t="str">
        <x:v>女性风格现代全屋定制</x:v>
      </x:c>
      <x:c r="C14" s="8" t="str">
        <x:v>官网公开案例+AI补全</x:v>
      </x:c>
      <x:c r="D14" s="9" t="b">
        <x:v>1</x:v>
      </x:c>
      <x:c r="E14" s="8" t="str">
        <x:v>https://www.oppein.cn/homematch/600</x:v>
      </x:c>
      <x:c r="F14" s="8" t="str">
        <x:v>https://oppein-shop.obs.cn-south-1.myhuaweicloud.com/fend/productimage/2018110216415422918400811610.jpg</x:v>
      </x:c>
      <x:c r="G14" s="8" t="str">
        <x:v>案例标题;案例URL;主图URL</x:v>
      </x:c>
      <x:c r="H14" s="8" t="str">
        <x:v>城市;家庭结构;总预算;标准风格映射;配色;材质;收纳;灯光;成交标签;修改次数;满意度;交期;风险</x:v>
      </x:c>
      <x:c r="I14" s="8" t="str">
        <x:v>华南</x:v>
      </x:c>
      <x:c r="J14" s="8" t="str">
        <x:v>广州</x:v>
      </x:c>
      <x:c r="K14" s="8" t="str">
        <x:v>三房两厅</x:v>
      </x:c>
      <x:c r="L14" s="8" t="str">
        <x:v>AI模拟</x:v>
      </x:c>
      <x:c r="M14" s="11" t="n">
        <x:v>116</x:v>
      </x:c>
      <x:c r="N14" s="8" t="str">
        <x:v>AI模拟</x:v>
      </x:c>
      <x:c r="O14" s="8" t="str">
        <x:v>现代简约</x:v>
      </x:c>
      <x:c r="P14" s="8" t="str">
        <x:v>官网标题＋AI归一化</x:v>
      </x:c>
      <x:c r="Q14" s="8" t="str">
        <x:v>极简</x:v>
      </x:c>
      <x:c r="R14" s="8" t="str">
        <x:v>明亮有序</x:v>
      </x:c>
      <x:c r="S14" s="12" t="n">
        <x:v>209000</x:v>
      </x:c>
      <x:c r="T14" s="12" t="n">
        <x:v>255000</x:v>
      </x:c>
      <x:c r="U14" s="12" t="n">
        <x:v>232000</x:v>
      </x:c>
      <x:c r="V14" s="8" t="str">
        <x:v>夫妻+1名儿童</x:v>
      </x:c>
      <x:c r="W14" s="8" t="str">
        <x:v>儿童安全;成长收纳</x:v>
      </x:c>
      <x:c r="X14" s="8" t="str">
        <x:v>米白;浅灰;木色</x:v>
      </x:c>
      <x:c r="Y14" s="8" t="str">
        <x:v>哑光板;岩板;玻璃</x:v>
      </x:c>
      <x:c r="Z14" s="13" t="n">
        <x:v>0.82</x:v>
      </x:c>
      <x:c r="AA14" s="8" t="str">
        <x:v>混合照明</x:v>
      </x:c>
      <x:c r="AB14" s="8" t="str">
        <x:v>AI模拟已成交标签</x:v>
      </x:c>
      <x:c r="AC14" s="8" t="str">
        <x:v>无</x:v>
      </x:c>
      <x:c r="AD14" s="8" t="n">
        <x:v>1</x:v>
      </x:c>
      <x:c r="AE14" s="14" t="n">
        <x:v>4</x:v>
      </x:c>
      <x:c r="AF14" s="8" t="n">
        <x:v>77</x:v>
      </x:c>
      <x:c r="AG14" s="8" t="str">
        <x:v>预算接近上限;跨品类交期</x:v>
      </x:c>
      <x:c r="AH14" s="8" t="str">
        <x:v>仅限内部研究/原页面访问</x:v>
      </x:c>
      <x:c r="AI14" s="8" t="str">
        <x:v>否（未获训练授权）</x:v>
      </x:c>
      <x:c r="AJ14" s="9" t="b">
        <x:v>1</x:v>
      </x:c>
      <x:c r="AK14" s="8" t="str">
        <x:v>官网公开主图URL（不嵌入、不再分发）</x:v>
      </x:c>
      <x:c r="AL14" s="15" t="n">
        <x:v>46220</x:v>
      </x:c>
      <x:c r="AM14" s="8" t="n">
        <x:f>COUNTIF($A$2:$A$61,A14)</x:f>
        <x:v>1</x:v>
      </x:c>
      <x:c r="AN14" s="8" t="str">
        <x:f>IF(AND(AM14=1,M14&gt;=30,M14&lt;=220,S14&lt;=U14,U14&lt;=T14,AJ14=TRUE,AC14="无"),"PASS","CHECK")</x:f>
        <x:v>PASS</x:v>
      </x:c>
    </x:row>
    <x:row r="15">
      <x:c r="A15" s="10" t="str">
        <x:v>OP-PUB-014</x:v>
      </x:c>
      <x:c r="B15" s="8" t="str">
        <x:v>焦糖风情温暖风94㎡设计案例</x:v>
      </x:c>
      <x:c r="C15" s="8" t="str">
        <x:v>官网公开案例+AI补全</x:v>
      </x:c>
      <x:c r="D15" s="9" t="b">
        <x:v>1</x:v>
      </x:c>
      <x:c r="E15" s="8" t="str">
        <x:v>https://www.oppein.cn/homematch/596</x:v>
      </x:c>
      <x:c r="F15" s="8" t="str">
        <x:v>https://oppein-shop.obs.cn-south-1.myhuaweicloud.com/fend/productimage/2018101710443186234400749202.jpg</x:v>
      </x:c>
      <x:c r="G15" s="8" t="str">
        <x:v>案例标题;案例URL;主图URL;面积(标题显式);详情页抽查</x:v>
      </x:c>
      <x:c r="H15" s="8" t="str">
        <x:v>城市;家庭结构;总预算;标准风格映射;配色;材质;收纳;灯光;成交标签;修改次数;满意度;交期;风险</x:v>
      </x:c>
      <x:c r="I15" s="8" t="str">
        <x:v>华南</x:v>
      </x:c>
      <x:c r="J15" s="8" t="str">
        <x:v>深圳</x:v>
      </x:c>
      <x:c r="K15" s="8" t="str">
        <x:v>四房两厅</x:v>
      </x:c>
      <x:c r="L15" s="8" t="str">
        <x:v>AI模拟</x:v>
      </x:c>
      <x:c r="M15" s="11" t="n">
        <x:v>94</x:v>
      </x:c>
      <x:c r="N15" s="8" t="str">
        <x:v>官网标题显式</x:v>
      </x:c>
      <x:c r="O15" s="8" t="str">
        <x:v>奶油风</x:v>
      </x:c>
      <x:c r="P15" s="8" t="str">
        <x:v>官网详情/标题＋AI归一化</x:v>
      </x:c>
      <x:c r="Q15" s="8" t="str">
        <x:v>柔和治愈</x:v>
      </x:c>
      <x:c r="R15" s="8" t="str">
        <x:v>温馨柔和</x:v>
      </x:c>
      <x:c r="S15" s="12" t="n">
        <x:v>186000</x:v>
      </x:c>
      <x:c r="T15" s="12" t="n">
        <x:v>228000</x:v>
      </x:c>
      <x:c r="U15" s="12" t="n">
        <x:v>207000</x:v>
      </x:c>
      <x:c r="V15" s="8" t="str">
        <x:v>夫妻+2名儿童</x:v>
      </x:c>
      <x:c r="W15" s="8" t="str">
        <x:v>儿童安全;成长收纳</x:v>
      </x:c>
      <x:c r="X15" s="8" t="str">
        <x:v>奶油白;浅咖;杏色</x:v>
      </x:c>
      <x:c r="Y15" s="8" t="str">
        <x:v>肤感板;柔光砖;织物</x:v>
      </x:c>
      <x:c r="Z15" s="13" t="n">
        <x:v>0.8200000000000001</x:v>
      </x:c>
      <x:c r="AA15" s="8" t="str">
        <x:v>暖光混合照明</x:v>
      </x:c>
      <x:c r="AB15" s="8" t="str">
        <x:v>AI模拟已成交标签</x:v>
      </x:c>
      <x:c r="AC15" s="8" t="str">
        <x:v>无</x:v>
      </x:c>
      <x:c r="AD15" s="8" t="n">
        <x:v>2</x:v>
      </x:c>
      <x:c r="AE15" s="14" t="n">
        <x:v>4.15</x:v>
      </x:c>
      <x:c r="AF15" s="8" t="n">
        <x:v>82</x:v>
      </x:c>
      <x:c r="AG15" s="8" t="str">
        <x:v>图片与落地材质需复核</x:v>
      </x:c>
      <x:c r="AH15" s="8" t="str">
        <x:v>仅限内部研究/原页面访问</x:v>
      </x:c>
      <x:c r="AI15" s="8" t="str">
        <x:v>否（未获训练授权）</x:v>
      </x:c>
      <x:c r="AJ15" s="9" t="b">
        <x:v>1</x:v>
      </x:c>
      <x:c r="AK15" s="8" t="str">
        <x:v>官网公开主图URL（不嵌入、不再分发）</x:v>
      </x:c>
      <x:c r="AL15" s="15" t="n">
        <x:v>46220</x:v>
      </x:c>
      <x:c r="AM15" s="8" t="n">
        <x:f>COUNTIF($A$2:$A$61,A15)</x:f>
        <x:v>1</x:v>
      </x:c>
      <x:c r="AN15" s="8" t="str">
        <x:f>IF(AND(AM15=1,M15&gt;=30,M15&lt;=220,S15&lt;=U15,U15&lt;=T15,AJ15=TRUE,AC15="无"),"PASS","CHECK")</x:f>
        <x:v>PASS</x:v>
      </x:c>
    </x:row>
    <x:row r="16">
      <x:c r="A16" s="10" t="str">
        <x:v>OP-PUB-015</x:v>
      </x:c>
      <x:c r="B16" s="8" t="str">
        <x:v>66㎡中式古韵风两房两厅设计</x:v>
      </x:c>
      <x:c r="C16" s="8" t="str">
        <x:v>官网公开案例+AI补全</x:v>
      </x:c>
      <x:c r="D16" s="9" t="b">
        <x:v>1</x:v>
      </x:c>
      <x:c r="E16" s="8" t="str">
        <x:v>https://www.oppein.cn/homematch/595</x:v>
      </x:c>
      <x:c r="F16" s="8" t="str">
        <x:v>https://oppein-shop.obs.cn-south-1.myhuaweicloud.com/fend/productimage/2018091216404538958300936475.jpg</x:v>
      </x:c>
      <x:c r="G16" s="8" t="str">
        <x:v>案例标题;案例URL;主图URL;面积(标题显式);户型(标题显式)</x:v>
      </x:c>
      <x:c r="H16" s="8" t="str">
        <x:v>城市;家庭结构;总预算;标准风格映射;配色;材质;收纳;灯光;成交标签;修改次数;满意度;交期;风险</x:v>
      </x:c>
      <x:c r="I16" s="8" t="str">
        <x:v>华南</x:v>
      </x:c>
      <x:c r="J16" s="8" t="str">
        <x:v>佛山</x:v>
      </x:c>
      <x:c r="K16" s="8" t="str">
        <x:v>两房两厅</x:v>
      </x:c>
      <x:c r="L16" s="8" t="str">
        <x:v>官网标题显式</x:v>
      </x:c>
      <x:c r="M16" s="11" t="n">
        <x:v>66</x:v>
      </x:c>
      <x:c r="N16" s="8" t="str">
        <x:v>官网标题显式</x:v>
      </x:c>
      <x:c r="O16" s="8" t="str">
        <x:v>新中式</x:v>
      </x:c>
      <x:c r="P16" s="8" t="str">
        <x:v>官网标题＋AI归一化</x:v>
      </x:c>
      <x:c r="Q16" s="8" t="str">
        <x:v>东方雅致</x:v>
      </x:c>
      <x:c r="R16" s="8" t="str">
        <x:v>安静雅致</x:v>
      </x:c>
      <x:c r="S16" s="12" t="n">
        <x:v>152000</x:v>
      </x:c>
      <x:c r="T16" s="12" t="n">
        <x:v>186000</x:v>
      </x:c>
      <x:c r="U16" s="12" t="n">
        <x:v>169000</x:v>
      </x:c>
      <x:c r="V16" s="8" t="str">
        <x:v>夫妻+宠物</x:v>
      </x:c>
      <x:c r="W16" s="8" t="str">
        <x:v>适宠;耐磨易清洁</x:v>
      </x:c>
      <x:c r="X16" s="8" t="str">
        <x:v>米白;胡桃木;黛灰</x:v>
      </x:c>
      <x:c r="Y16" s="8" t="str">
        <x:v>木纹板;格栅;岩板;黄铜</x:v>
      </x:c>
      <x:c r="Z16" s="13" t="n">
        <x:v>0.8</x:v>
      </x:c>
      <x:c r="AA16" s="8" t="str">
        <x:v>暖光混合照明</x:v>
      </x:c>
      <x:c r="AB16" s="8" t="str">
        <x:v>AI模拟已成交标签</x:v>
      </x:c>
      <x:c r="AC16" s="8" t="str">
        <x:v>无</x:v>
      </x:c>
      <x:c r="AD16" s="8" t="n">
        <x:v>3</x:v>
      </x:c>
      <x:c r="AE16" s="14" t="n">
        <x:v>4.3</x:v>
      </x:c>
      <x:c r="AF16" s="8" t="n">
        <x:v>52</x:v>
      </x:c>
      <x:c r="AG16" s="8" t="str">
        <x:v>图片与落地材质需复核</x:v>
      </x:c>
      <x:c r="AH16" s="8" t="str">
        <x:v>仅限内部研究/原页面访问</x:v>
      </x:c>
      <x:c r="AI16" s="8" t="str">
        <x:v>否（未获训练授权）</x:v>
      </x:c>
      <x:c r="AJ16" s="9" t="b">
        <x:v>1</x:v>
      </x:c>
      <x:c r="AK16" s="8" t="str">
        <x:v>官网公开主图URL（不嵌入、不再分发）</x:v>
      </x:c>
      <x:c r="AL16" s="15" t="n">
        <x:v>46220</x:v>
      </x:c>
      <x:c r="AM16" s="8" t="n">
        <x:f>COUNTIF($A$2:$A$61,A16)</x:f>
        <x:v>1</x:v>
      </x:c>
      <x:c r="AN16" s="8" t="str">
        <x:f>IF(AND(AM16=1,M16&gt;=30,M16&lt;=220,S16&lt;=U16,U16&lt;=T16,AJ16=TRUE,AC16="无"),"PASS","CHECK")</x:f>
        <x:v>PASS</x:v>
      </x:c>
    </x:row>
    <x:row r="17">
      <x:c r="A17" s="10" t="str">
        <x:v>OP-PUB-016</x:v>
      </x:c>
      <x:c r="B17" s="8" t="str">
        <x:v>简约随性105㎡三房两厅</x:v>
      </x:c>
      <x:c r="C17" s="8" t="str">
        <x:v>官网公开案例+AI补全</x:v>
      </x:c>
      <x:c r="D17" s="9" t="b">
        <x:v>1</x:v>
      </x:c>
      <x:c r="E17" s="8" t="str">
        <x:v>https://www.oppein.cn/homematch/588</x:v>
      </x:c>
      <x:c r="F17" s="8" t="str">
        <x:v>https://oppein-shop.obs.cn-south-1.myhuaweicloud.com/fend/productimage/2017112918051193855600974292.jpg</x:v>
      </x:c>
      <x:c r="G17" s="8" t="str">
        <x:v>案例标题;案例URL;主图URL;面积(标题显式);户型(标题显式)</x:v>
      </x:c>
      <x:c r="H17" s="8" t="str">
        <x:v>城市;家庭结构;总预算;标准风格映射;配色;材质;收纳;灯光;成交标签;修改次数;满意度;交期;风险</x:v>
      </x:c>
      <x:c r="I17" s="8" t="str">
        <x:v>华南</x:v>
      </x:c>
      <x:c r="J17" s="8" t="str">
        <x:v>东莞</x:v>
      </x:c>
      <x:c r="K17" s="8" t="str">
        <x:v>三房两厅</x:v>
      </x:c>
      <x:c r="L17" s="8" t="str">
        <x:v>官网标题显式</x:v>
      </x:c>
      <x:c r="M17" s="11" t="n">
        <x:v>105</x:v>
      </x:c>
      <x:c r="N17" s="8" t="str">
        <x:v>官网标题显式</x:v>
      </x:c>
      <x:c r="O17" s="8" t="str">
        <x:v>现代简约</x:v>
      </x:c>
      <x:c r="P17" s="8" t="str">
        <x:v>官网标题＋AI归一化</x:v>
      </x:c>
      <x:c r="Q17" s="8" t="str">
        <x:v>极简</x:v>
      </x:c>
      <x:c r="R17" s="8" t="str">
        <x:v>明亮有序</x:v>
      </x:c>
      <x:c r="S17" s="12" t="n">
        <x:v>180000</x:v>
      </x:c>
      <x:c r="T17" s="12" t="n">
        <x:v>220000</x:v>
      </x:c>
      <x:c r="U17" s="12" t="n">
        <x:v>200000</x:v>
      </x:c>
      <x:c r="V17" s="8" t="str">
        <x:v>夫妻+老人</x:v>
      </x:c>
      <x:c r="W17" s="8" t="str">
        <x:v>适老;夜间照明;低位收纳</x:v>
      </x:c>
      <x:c r="X17" s="8" t="str">
        <x:v>米白;浅灰;木色</x:v>
      </x:c>
      <x:c r="Y17" s="8" t="str">
        <x:v>哑光板;岩板;玻璃</x:v>
      </x:c>
      <x:c r="Z17" s="13" t="n">
        <x:v>0.7799999999999999</x:v>
      </x:c>
      <x:c r="AA17" s="8" t="str">
        <x:v>混合照明</x:v>
      </x:c>
      <x:c r="AB17" s="8" t="str">
        <x:v>AI模拟已成交标签</x:v>
      </x:c>
      <x:c r="AC17" s="8" t="str">
        <x:v>无</x:v>
      </x:c>
      <x:c r="AD17" s="8" t="n">
        <x:v>4</x:v>
      </x:c>
      <x:c r="AE17" s="14" t="n">
        <x:v>4.45</x:v>
      </x:c>
      <x:c r="AF17" s="8" t="n">
        <x:v>57</x:v>
      </x:c>
      <x:c r="AG17" s="8" t="str">
        <x:v>图片与落地材质需复核</x:v>
      </x:c>
      <x:c r="AH17" s="8" t="str">
        <x:v>仅限内部研究/原页面访问</x:v>
      </x:c>
      <x:c r="AI17" s="8" t="str">
        <x:v>否（未获训练授权）</x:v>
      </x:c>
      <x:c r="AJ17" s="9" t="b">
        <x:v>1</x:v>
      </x:c>
      <x:c r="AK17" s="8" t="str">
        <x:v>官网公开主图URL（不嵌入、不再分发）</x:v>
      </x:c>
      <x:c r="AL17" s="15" t="n">
        <x:v>46220</x:v>
      </x:c>
      <x:c r="AM17" s="8" t="n">
        <x:f>COUNTIF($A$2:$A$61,A17)</x:f>
        <x:v>1</x:v>
      </x:c>
      <x:c r="AN17" s="8" t="str">
        <x:f>IF(AND(AM17=1,M17&gt;=30,M17&lt;=220,S17&lt;=U17,U17&lt;=T17,AJ17=TRUE,AC17="无"),"PASS","CHECK")</x:f>
        <x:v>PASS</x:v>
      </x:c>
    </x:row>
    <x:row r="18">
      <x:c r="A18" s="10" t="str">
        <x:v>OP-PUB-017</x:v>
      </x:c>
      <x:c r="B18" s="8" t="str">
        <x:v>简约浪漫的三居室</x:v>
      </x:c>
      <x:c r="C18" s="8" t="str">
        <x:v>官网公开案例+AI补全</x:v>
      </x:c>
      <x:c r="D18" s="9" t="b">
        <x:v>1</x:v>
      </x:c>
      <x:c r="E18" s="8" t="str">
        <x:v>https://www.oppein.cn/homematch/577</x:v>
      </x:c>
      <x:c r="F18" s="8" t="str">
        <x:v>https://oppein-shop.obs.cn-south-1.myhuaweicloud.com/fend/productimage/2017062312035458521600346360.jpg</x:v>
      </x:c>
      <x:c r="G18" s="8" t="str">
        <x:v>案例标题;案例URL;主图URL;户型(标题显式)</x:v>
      </x:c>
      <x:c r="H18" s="8" t="str">
        <x:v>城市;家庭结构;总预算;标准风格映射;配色;材质;收纳;灯光;成交标签;修改次数;满意度;交期;风险</x:v>
      </x:c>
      <x:c r="I18" s="8" t="str">
        <x:v>华南</x:v>
      </x:c>
      <x:c r="J18" s="8" t="str">
        <x:v>珠海</x:v>
      </x:c>
      <x:c r="K18" s="8" t="str">
        <x:v>三房两厅</x:v>
      </x:c>
      <x:c r="L18" s="8" t="str">
        <x:v>官网标题显式</x:v>
      </x:c>
      <x:c r="M18" s="11" t="n">
        <x:v>110</x:v>
      </x:c>
      <x:c r="N18" s="8" t="str">
        <x:v>AI模拟</x:v>
      </x:c>
      <x:c r="O18" s="8" t="str">
        <x:v>奶油风</x:v>
      </x:c>
      <x:c r="P18" s="8" t="str">
        <x:v>官网标题＋AI归一化</x:v>
      </x:c>
      <x:c r="Q18" s="8" t="str">
        <x:v>柔和治愈</x:v>
      </x:c>
      <x:c r="R18" s="8" t="str">
        <x:v>温馨柔和</x:v>
      </x:c>
      <x:c r="S18" s="12" t="n">
        <x:v>205000</x:v>
      </x:c>
      <x:c r="T18" s="12" t="n">
        <x:v>251000</x:v>
      </x:c>
      <x:c r="U18" s="12" t="n">
        <x:v>228000</x:v>
      </x:c>
      <x:c r="V18" s="8" t="str">
        <x:v>夫妻+1名儿童</x:v>
      </x:c>
      <x:c r="W18" s="8" t="str">
        <x:v>儿童安全;成长收纳</x:v>
      </x:c>
      <x:c r="X18" s="8" t="str">
        <x:v>奶油白;浅咖;杏色</x:v>
      </x:c>
      <x:c r="Y18" s="8" t="str">
        <x:v>肤感板;柔光砖;织物</x:v>
      </x:c>
      <x:c r="Z18" s="13" t="n">
        <x:v>0.78</x:v>
      </x:c>
      <x:c r="AA18" s="8" t="str">
        <x:v>暖光混合照明</x:v>
      </x:c>
      <x:c r="AB18" s="8" t="str">
        <x:v>AI模拟已成交标签</x:v>
      </x:c>
      <x:c r="AC18" s="8" t="str">
        <x:v>无</x:v>
      </x:c>
      <x:c r="AD18" s="8" t="n">
        <x:v>1</x:v>
      </x:c>
      <x:c r="AE18" s="14" t="n">
        <x:v>4.6</x:v>
      </x:c>
      <x:c r="AF18" s="8" t="n">
        <x:v>62</x:v>
      </x:c>
      <x:c r="AG18" s="8" t="str">
        <x:v>预算接近上限;跨品类交期</x:v>
      </x:c>
      <x:c r="AH18" s="8" t="str">
        <x:v>仅限内部研究/原页面访问</x:v>
      </x:c>
      <x:c r="AI18" s="8" t="str">
        <x:v>否（未获训练授权）</x:v>
      </x:c>
      <x:c r="AJ18" s="9" t="b">
        <x:v>1</x:v>
      </x:c>
      <x:c r="AK18" s="8" t="str">
        <x:v>官网公开主图URL（不嵌入、不再分发）</x:v>
      </x:c>
      <x:c r="AL18" s="15" t="n">
        <x:v>46220</x:v>
      </x:c>
      <x:c r="AM18" s="8" t="n">
        <x:f>COUNTIF($A$2:$A$61,A18)</x:f>
        <x:v>1</x:v>
      </x:c>
      <x:c r="AN18" s="8" t="str">
        <x:f>IF(AND(AM18=1,M18&gt;=30,M18&lt;=220,S18&lt;=U18,U18&lt;=T18,AJ18=TRUE,AC18="无"),"PASS","CHECK")</x:f>
        <x:v>PASS</x:v>
      </x:c>
    </x:row>
    <x:row r="19">
      <x:c r="A19" s="10" t="str">
        <x:v>OP-PUB-018</x:v>
      </x:c>
      <x:c r="B19" s="8" t="str">
        <x:v>餐厨合一40㎡浪漫一居</x:v>
      </x:c>
      <x:c r="C19" s="8" t="str">
        <x:v>官网公开案例+AI补全</x:v>
      </x:c>
      <x:c r="D19" s="9" t="b">
        <x:v>1</x:v>
      </x:c>
      <x:c r="E19" s="8" t="str">
        <x:v>https://www.oppein.cn/homematch/572</x:v>
      </x:c>
      <x:c r="F19" s="8" t="str">
        <x:v>https://oppein-shop.obs.cn-south-1.myhuaweicloud.com/fend/productimage/2017050910540319617200920916.jpg</x:v>
      </x:c>
      <x:c r="G19" s="8" t="str">
        <x:v>案例标题;案例URL;主图URL;面积(标题显式);户型(标题显式)</x:v>
      </x:c>
      <x:c r="H19" s="8" t="str">
        <x:v>城市;家庭结构;总预算;标准风格映射;配色;材质;收纳;灯光;成交标签;修改次数;满意度;交期;风险</x:v>
      </x:c>
      <x:c r="I19" s="8" t="str">
        <x:v>华南</x:v>
      </x:c>
      <x:c r="J19" s="8" t="str">
        <x:v>惠州</x:v>
      </x:c>
      <x:c r="K19" s="8" t="str">
        <x:v>一房一厅</x:v>
      </x:c>
      <x:c r="L19" s="8" t="str">
        <x:v>官网标题显式</x:v>
      </x:c>
      <x:c r="M19" s="11" t="n">
        <x:v>40</x:v>
      </x:c>
      <x:c r="N19" s="8" t="str">
        <x:v>官网标题显式</x:v>
      </x:c>
      <x:c r="O19" s="8" t="str">
        <x:v>奶油风</x:v>
      </x:c>
      <x:c r="P19" s="8" t="str">
        <x:v>官网标题＋AI归一化</x:v>
      </x:c>
      <x:c r="Q19" s="8" t="str">
        <x:v>柔和治愈</x:v>
      </x:c>
      <x:c r="R19" s="8" t="str">
        <x:v>温馨柔和</x:v>
      </x:c>
      <x:c r="S19" s="12" t="n">
        <x:v>84000</x:v>
      </x:c>
      <x:c r="T19" s="12" t="n">
        <x:v>102000</x:v>
      </x:c>
      <x:c r="U19" s="12" t="n">
        <x:v>93000</x:v>
      </x:c>
      <x:c r="V19" s="8" t="str">
        <x:v>新婚夫妻</x:v>
      </x:c>
      <x:c r="W19" s="8" t="str">
        <x:v>强收纳;易清洁</x:v>
      </x:c>
      <x:c r="X19" s="8" t="str">
        <x:v>奶油白;浅咖;杏色</x:v>
      </x:c>
      <x:c r="Y19" s="8" t="str">
        <x:v>肤感板;柔光砖;织物</x:v>
      </x:c>
      <x:c r="Z19" s="13" t="n">
        <x:v>0.8</x:v>
      </x:c>
      <x:c r="AA19" s="8" t="str">
        <x:v>暖光混合照明</x:v>
      </x:c>
      <x:c r="AB19" s="8" t="str">
        <x:v>AI模拟已成交标签</x:v>
      </x:c>
      <x:c r="AC19" s="8" t="str">
        <x:v>无</x:v>
      </x:c>
      <x:c r="AD19" s="8" t="n">
        <x:v>2</x:v>
      </x:c>
      <x:c r="AE19" s="14" t="n">
        <x:v>4.75</x:v>
      </x:c>
      <x:c r="AF19" s="8" t="n">
        <x:v>67</x:v>
      </x:c>
      <x:c r="AG19" s="8" t="str">
        <x:v>图片与落地材质需复核</x:v>
      </x:c>
      <x:c r="AH19" s="8" t="str">
        <x:v>仅限内部研究/原页面访问</x:v>
      </x:c>
      <x:c r="AI19" s="8" t="str">
        <x:v>否（未获训练授权）</x:v>
      </x:c>
      <x:c r="AJ19" s="9" t="b">
        <x:v>1</x:v>
      </x:c>
      <x:c r="AK19" s="8" t="str">
        <x:v>官网公开主图URL（不嵌入、不再分发）</x:v>
      </x:c>
      <x:c r="AL19" s="15" t="n">
        <x:v>46220</x:v>
      </x:c>
      <x:c r="AM19" s="8" t="n">
        <x:f>COUNTIF($A$2:$A$61,A19)</x:f>
        <x:v>1</x:v>
      </x:c>
      <x:c r="AN19" s="8" t="str">
        <x:f>IF(AND(AM19=1,M19&gt;=30,M19&lt;=220,S19&lt;=U19,U19&lt;=T19,AJ19=TRUE,AC19="无"),"PASS","CHECK")</x:f>
        <x:v>PASS</x:v>
      </x:c>
    </x:row>
    <x:row r="20">
      <x:c r="A20" s="10" t="str">
        <x:v>OP-PUB-019</x:v>
      </x:c>
      <x:c r="B20" s="8" t="str">
        <x:v>86.36㎡活用收纳三居</x:v>
      </x:c>
      <x:c r="C20" s="8" t="str">
        <x:v>官网公开案例+AI补全</x:v>
      </x:c>
      <x:c r="D20" s="9" t="b">
        <x:v>1</x:v>
      </x:c>
      <x:c r="E20" s="8" t="str">
        <x:v>https://www.oppein.cn/homematch/568</x:v>
      </x:c>
      <x:c r="F20" s="8" t="str">
        <x:v>https://oppein-shop.obs.cn-south-1.myhuaweicloud.com/fend/productimage/2016071016482131461600585783.jpg</x:v>
      </x:c>
      <x:c r="G20" s="8" t="str">
        <x:v>案例标题;案例URL;主图URL;面积(标题显式);户型(标题显式)</x:v>
      </x:c>
      <x:c r="H20" s="8" t="str">
        <x:v>城市;家庭结构;总预算;标准风格映射;配色;材质;收纳;灯光;成交标签;修改次数;满意度;交期;风险</x:v>
      </x:c>
      <x:c r="I20" s="8" t="str">
        <x:v>华南</x:v>
      </x:c>
      <x:c r="J20" s="8" t="str">
        <x:v>广州</x:v>
      </x:c>
      <x:c r="K20" s="8" t="str">
        <x:v>三房两厅</x:v>
      </x:c>
      <x:c r="L20" s="8" t="str">
        <x:v>官网标题显式</x:v>
      </x:c>
      <x:c r="M20" s="11" t="n">
        <x:v>86.36</x:v>
      </x:c>
      <x:c r="N20" s="8" t="str">
        <x:v>官网标题显式</x:v>
      </x:c>
      <x:c r="O20" s="8" t="str">
        <x:v>现代简约</x:v>
      </x:c>
      <x:c r="P20" s="8" t="str">
        <x:v>官网标题＋AI归一化</x:v>
      </x:c>
      <x:c r="Q20" s="8" t="str">
        <x:v>极简</x:v>
      </x:c>
      <x:c r="R20" s="8" t="str">
        <x:v>明亮有序</x:v>
      </x:c>
      <x:c r="S20" s="12" t="n">
        <x:v>164000</x:v>
      </x:c>
      <x:c r="T20" s="12" t="n">
        <x:v>200000</x:v>
      </x:c>
      <x:c r="U20" s="12" t="n">
        <x:v>182000</x:v>
      </x:c>
      <x:c r="V20" s="8" t="str">
        <x:v>三代同堂</x:v>
      </x:c>
      <x:c r="W20" s="8" t="str">
        <x:v>适老;夜间照明;低位收纳</x:v>
      </x:c>
      <x:c r="X20" s="8" t="str">
        <x:v>米白;浅灰;木色</x:v>
      </x:c>
      <x:c r="Y20" s="8" t="str">
        <x:v>哑光板;岩板;玻璃</x:v>
      </x:c>
      <x:c r="Z20" s="13" t="n">
        <x:v>0.84</x:v>
      </x:c>
      <x:c r="AA20" s="8" t="str">
        <x:v>混合照明</x:v>
      </x:c>
      <x:c r="AB20" s="8" t="str">
        <x:v>AI模拟已成交标签</x:v>
      </x:c>
      <x:c r="AC20" s="8" t="str">
        <x:v>无</x:v>
      </x:c>
      <x:c r="AD20" s="8" t="n">
        <x:v>3</x:v>
      </x:c>
      <x:c r="AE20" s="14" t="n">
        <x:v>4</x:v>
      </x:c>
      <x:c r="AF20" s="8" t="n">
        <x:v>72</x:v>
      </x:c>
      <x:c r="AG20" s="8" t="str">
        <x:v>图片与落地材质需复核</x:v>
      </x:c>
      <x:c r="AH20" s="8" t="str">
        <x:v>仅限内部研究/原页面访问</x:v>
      </x:c>
      <x:c r="AI20" s="8" t="str">
        <x:v>否（未获训练授权）</x:v>
      </x:c>
      <x:c r="AJ20" s="9" t="b">
        <x:v>1</x:v>
      </x:c>
      <x:c r="AK20" s="8" t="str">
        <x:v>官网公开主图URL（不嵌入、不再分发）</x:v>
      </x:c>
      <x:c r="AL20" s="15" t="n">
        <x:v>46220</x:v>
      </x:c>
      <x:c r="AM20" s="8" t="n">
        <x:f>COUNTIF($A$2:$A$61,A20)</x:f>
        <x:v>1</x:v>
      </x:c>
      <x:c r="AN20" s="8" t="str">
        <x:f>IF(AND(AM20=1,M20&gt;=30,M20&lt;=220,S20&lt;=U20,U20&lt;=T20,AJ20=TRUE,AC20="无"),"PASS","CHECK")</x:f>
        <x:v>PASS</x:v>
      </x:c>
    </x:row>
    <x:row r="21">
      <x:c r="A21" s="10" t="str">
        <x:v>OP-PUB-020</x:v>
      </x:c>
      <x:c r="B21" s="8" t="str">
        <x:v>都市新贵简欧风三居</x:v>
      </x:c>
      <x:c r="C21" s="8" t="str">
        <x:v>官网公开案例+AI补全</x:v>
      </x:c>
      <x:c r="D21" s="9" t="b">
        <x:v>1</x:v>
      </x:c>
      <x:c r="E21" s="8" t="str">
        <x:v>https://www.oppein.cn/homematch/564</x:v>
      </x:c>
      <x:c r="F21" s="8" t="str">
        <x:v>https://oppein-shop.obs.cn-south-1.myhuaweicloud.com/fend/productimage/2018101614232810225500782708.jpg</x:v>
      </x:c>
      <x:c r="G21" s="8" t="str">
        <x:v>案例标题;案例URL;主图URL;户型(标题显式)</x:v>
      </x:c>
      <x:c r="H21" s="8" t="str">
        <x:v>城市;家庭结构;总预算;标准风格映射;配色;材质;收纳;灯光;成交标签;修改次数;满意度;交期;风险</x:v>
      </x:c>
      <x:c r="I21" s="8" t="str">
        <x:v>华南</x:v>
      </x:c>
      <x:c r="J21" s="8" t="str">
        <x:v>深圳</x:v>
      </x:c>
      <x:c r="K21" s="8" t="str">
        <x:v>三房两厅</x:v>
      </x:c>
      <x:c r="L21" s="8" t="str">
        <x:v>官网标题显式</x:v>
      </x:c>
      <x:c r="M21" s="11" t="n">
        <x:v>114</x:v>
      </x:c>
      <x:c r="N21" s="8" t="str">
        <x:v>AI模拟</x:v>
      </x:c>
      <x:c r="O21" s="8" t="str">
        <x:v>现代轻奢</x:v>
      </x:c>
      <x:c r="P21" s="8" t="str">
        <x:v>官网标题＋AI归一化</x:v>
      </x:c>
      <x:c r="Q21" s="8" t="str">
        <x:v>意式轻奢</x:v>
      </x:c>
      <x:c r="R21" s="8" t="str">
        <x:v>沉稳精致</x:v>
      </x:c>
      <x:c r="S21" s="12" t="n">
        <x:v>256000</x:v>
      </x:c>
      <x:c r="T21" s="12" t="n">
        <x:v>312000</x:v>
      </x:c>
      <x:c r="U21" s="12" t="n">
        <x:v>284000</x:v>
      </x:c>
      <x:c r="V21" s="8" t="str">
        <x:v>夫妻+老人</x:v>
      </x:c>
      <x:c r="W21" s="8" t="str">
        <x:v>适老;夜间照明;低位收纳</x:v>
      </x:c>
      <x:c r="X21" s="8" t="str">
        <x:v>暖灰;香槟金;深木</x:v>
      </x:c>
      <x:c r="Y21" s="8" t="str">
        <x:v>岩板;金属;玻璃;肤感板</x:v>
      </x:c>
      <x:c r="Z21" s="13" t="n">
        <x:v>0.76</x:v>
      </x:c>
      <x:c r="AA21" s="8" t="str">
        <x:v>无主灯+重点照明</x:v>
      </x:c>
      <x:c r="AB21" s="8" t="str">
        <x:v>AI模拟已成交标签</x:v>
      </x:c>
      <x:c r="AC21" s="8" t="str">
        <x:v>无</x:v>
      </x:c>
      <x:c r="AD21" s="8" t="n">
        <x:v>4</x:v>
      </x:c>
      <x:c r="AE21" s="14" t="n">
        <x:v>4.15</x:v>
      </x:c>
      <x:c r="AF21" s="8" t="n">
        <x:v>77</x:v>
      </x:c>
      <x:c r="AG21" s="8" t="str">
        <x:v>图片与落地材质需复核</x:v>
      </x:c>
      <x:c r="AH21" s="8" t="str">
        <x:v>仅限内部研究/原页面访问</x:v>
      </x:c>
      <x:c r="AI21" s="8" t="str">
        <x:v>否（未获训练授权）</x:v>
      </x:c>
      <x:c r="AJ21" s="9" t="b">
        <x:v>1</x:v>
      </x:c>
      <x:c r="AK21" s="8" t="str">
        <x:v>官网公开主图URL（不嵌入、不再分发）</x:v>
      </x:c>
      <x:c r="AL21" s="15" t="n">
        <x:v>46220</x:v>
      </x:c>
      <x:c r="AM21" s="8" t="n">
        <x:f>COUNTIF($A$2:$A$61,A21)</x:f>
        <x:v>1</x:v>
      </x:c>
      <x:c r="AN21" s="8" t="str">
        <x:f>IF(AND(AM21=1,M21&gt;=30,M21&lt;=220,S21&lt;=U21,U21&lt;=T21,AJ21=TRUE,AC21="无"),"PASS","CHECK")</x:f>
        <x:v>PASS</x:v>
      </x:c>
    </x:row>
    <x:row r="22">
      <x:c r="A22" s="10" t="str">
        <x:v>OP-PUB-021</x:v>
      </x:c>
      <x:c r="B22" s="8" t="str">
        <x:v>相守幸福69㎡明媚两居</x:v>
      </x:c>
      <x:c r="C22" s="8" t="str">
        <x:v>官网公开案例+AI补全</x:v>
      </x:c>
      <x:c r="D22" s="9" t="b">
        <x:v>1</x:v>
      </x:c>
      <x:c r="E22" s="8" t="str">
        <x:v>https://www.oppein.cn/homematch/563</x:v>
      </x:c>
      <x:c r="F22" s="8" t="str">
        <x:v>https://oppein-shop.obs.cn-south-1.myhuaweicloud.com/fend/productimage/2016122720154834716000898370.jpg</x:v>
      </x:c>
      <x:c r="G22" s="8" t="str">
        <x:v>案例标题;案例URL;主图URL;面积(标题显式);户型(标题显式)</x:v>
      </x:c>
      <x:c r="H22" s="8" t="str">
        <x:v>城市;家庭结构;总预算;标准风格映射;配色;材质;收纳;灯光;成交标签;修改次数;满意度;交期;风险</x:v>
      </x:c>
      <x:c r="I22" s="8" t="str">
        <x:v>华南</x:v>
      </x:c>
      <x:c r="J22" s="8" t="str">
        <x:v>佛山</x:v>
      </x:c>
      <x:c r="K22" s="8" t="str">
        <x:v>两房两厅</x:v>
      </x:c>
      <x:c r="L22" s="8" t="str">
        <x:v>官网标题显式</x:v>
      </x:c>
      <x:c r="M22" s="11" t="n">
        <x:v>69</x:v>
      </x:c>
      <x:c r="N22" s="8" t="str">
        <x:v>官网标题显式</x:v>
      </x:c>
      <x:c r="O22" s="8" t="str">
        <x:v>奶油风</x:v>
      </x:c>
      <x:c r="P22" s="8" t="str">
        <x:v>官网标题＋AI归一化</x:v>
      </x:c>
      <x:c r="Q22" s="8" t="str">
        <x:v>柔和治愈</x:v>
      </x:c>
      <x:c r="R22" s="8" t="str">
        <x:v>温馨柔和</x:v>
      </x:c>
      <x:c r="S22" s="12" t="n">
        <x:v>125000</x:v>
      </x:c>
      <x:c r="T22" s="12" t="n">
        <x:v>153000</x:v>
      </x:c>
      <x:c r="U22" s="12" t="n">
        <x:v>139000</x:v>
      </x:c>
      <x:c r="V22" s="8" t="str">
        <x:v>夫妻+宠物</x:v>
      </x:c>
      <x:c r="W22" s="8" t="str">
        <x:v>适宠;耐磨易清洁</x:v>
      </x:c>
      <x:c r="X22" s="8" t="str">
        <x:v>奶油白;浅咖;杏色</x:v>
      </x:c>
      <x:c r="Y22" s="8" t="str">
        <x:v>肤感板;柔光砖;织物</x:v>
      </x:c>
      <x:c r="Z22" s="13" t="n">
        <x:v>0.76</x:v>
      </x:c>
      <x:c r="AA22" s="8" t="str">
        <x:v>暖光混合照明</x:v>
      </x:c>
      <x:c r="AB22" s="8" t="str">
        <x:v>AI模拟已成交标签</x:v>
      </x:c>
      <x:c r="AC22" s="8" t="str">
        <x:v>无</x:v>
      </x:c>
      <x:c r="AD22" s="8" t="n">
        <x:v>1</x:v>
      </x:c>
      <x:c r="AE22" s="14" t="n">
        <x:v>4.3</x:v>
      </x:c>
      <x:c r="AF22" s="8" t="n">
        <x:v>82</x:v>
      </x:c>
      <x:c r="AG22" s="8" t="str">
        <x:v>预算接近上限;跨品类交期</x:v>
      </x:c>
      <x:c r="AH22" s="8" t="str">
        <x:v>仅限内部研究/原页面访问</x:v>
      </x:c>
      <x:c r="AI22" s="8" t="str">
        <x:v>否（未获训练授权）</x:v>
      </x:c>
      <x:c r="AJ22" s="9" t="b">
        <x:v>1</x:v>
      </x:c>
      <x:c r="AK22" s="8" t="str">
        <x:v>官网公开主图URL（不嵌入、不再分发）</x:v>
      </x:c>
      <x:c r="AL22" s="15" t="n">
        <x:v>46220</x:v>
      </x:c>
      <x:c r="AM22" s="8" t="n">
        <x:f>COUNTIF($A$2:$A$61,A22)</x:f>
        <x:v>1</x:v>
      </x:c>
      <x:c r="AN22" s="8" t="str">
        <x:f>IF(AND(AM22=1,M22&gt;=30,M22&lt;=220,S22&lt;=U22,U22&lt;=T22,AJ22=TRUE,AC22="无"),"PASS","CHECK")</x:f>
        <x:v>PASS</x:v>
      </x:c>
    </x:row>
    <x:row r="23">
      <x:c r="A23" s="10" t="str">
        <x:v>OP-PUB-022</x:v>
      </x:c>
      <x:c r="B23" s="8" t="str">
        <x:v>简约潮流范125㎡三居</x:v>
      </x:c>
      <x:c r="C23" s="8" t="str">
        <x:v>官网公开案例+AI补全</x:v>
      </x:c>
      <x:c r="D23" s="9" t="b">
        <x:v>1</x:v>
      </x:c>
      <x:c r="E23" s="8" t="str">
        <x:v>https://www.oppein.cn/homematch/557</x:v>
      </x:c>
      <x:c r="F23" s="8" t="str">
        <x:v>https://oppein-shop.obs.cn-south-1.myhuaweicloud.com/fend/productimage/2017041311571313067100188635.jpg</x:v>
      </x:c>
      <x:c r="G23" s="8" t="str">
        <x:v>案例标题;案例URL;主图URL;面积(标题显式);户型(标题显式)</x:v>
      </x:c>
      <x:c r="H23" s="8" t="str">
        <x:v>城市;家庭结构;总预算;标准风格映射;配色;材质;收纳;灯光;成交标签;修改次数;满意度;交期;风险</x:v>
      </x:c>
      <x:c r="I23" s="8" t="str">
        <x:v>华南</x:v>
      </x:c>
      <x:c r="J23" s="8" t="str">
        <x:v>东莞</x:v>
      </x:c>
      <x:c r="K23" s="8" t="str">
        <x:v>三房两厅</x:v>
      </x:c>
      <x:c r="L23" s="8" t="str">
        <x:v>官网标题显式</x:v>
      </x:c>
      <x:c r="M23" s="11" t="n">
        <x:v>125</x:v>
      </x:c>
      <x:c r="N23" s="8" t="str">
        <x:v>官网标题显式</x:v>
      </x:c>
      <x:c r="O23" s="8" t="str">
        <x:v>现代简约</x:v>
      </x:c>
      <x:c r="P23" s="8" t="str">
        <x:v>官网标题＋AI归一化</x:v>
      </x:c>
      <x:c r="Q23" s="8" t="str">
        <x:v>极简</x:v>
      </x:c>
      <x:c r="R23" s="8" t="str">
        <x:v>明亮有序</x:v>
      </x:c>
      <x:c r="S23" s="12" t="n">
        <x:v>220000</x:v>
      </x:c>
      <x:c r="T23" s="12" t="n">
        <x:v>268000</x:v>
      </x:c>
      <x:c r="U23" s="12" t="n">
        <x:v>244000</x:v>
      </x:c>
      <x:c r="V23" s="8" t="str">
        <x:v>夫妻+2名儿童</x:v>
      </x:c>
      <x:c r="W23" s="8" t="str">
        <x:v>儿童安全;成长收纳</x:v>
      </x:c>
      <x:c r="X23" s="8" t="str">
        <x:v>米白;浅灰;木色</x:v>
      </x:c>
      <x:c r="Y23" s="8" t="str">
        <x:v>哑光板;岩板;玻璃</x:v>
      </x:c>
      <x:c r="Z23" s="13" t="n">
        <x:v>0.7999999999999999</x:v>
      </x:c>
      <x:c r="AA23" s="8" t="str">
        <x:v>混合照明</x:v>
      </x:c>
      <x:c r="AB23" s="8" t="str">
        <x:v>AI模拟已成交标签</x:v>
      </x:c>
      <x:c r="AC23" s="8" t="str">
        <x:v>无</x:v>
      </x:c>
      <x:c r="AD23" s="8" t="n">
        <x:v>2</x:v>
      </x:c>
      <x:c r="AE23" s="14" t="n">
        <x:v>4.45</x:v>
      </x:c>
      <x:c r="AF23" s="8" t="n">
        <x:v>52</x:v>
      </x:c>
      <x:c r="AG23" s="8" t="str">
        <x:v>图片与落地材质需复核</x:v>
      </x:c>
      <x:c r="AH23" s="8" t="str">
        <x:v>仅限内部研究/原页面访问</x:v>
      </x:c>
      <x:c r="AI23" s="8" t="str">
        <x:v>否（未获训练授权）</x:v>
      </x:c>
      <x:c r="AJ23" s="9" t="b">
        <x:v>1</x:v>
      </x:c>
      <x:c r="AK23" s="8" t="str">
        <x:v>官网公开主图URL（不嵌入、不再分发）</x:v>
      </x:c>
      <x:c r="AL23" s="15" t="n">
        <x:v>46220</x:v>
      </x:c>
      <x:c r="AM23" s="8" t="n">
        <x:f>COUNTIF($A$2:$A$61,A23)</x:f>
        <x:v>1</x:v>
      </x:c>
      <x:c r="AN23" s="8" t="str">
        <x:f>IF(AND(AM23=1,M23&gt;=30,M23&lt;=220,S23&lt;=U23,U23&lt;=T23,AJ23=TRUE,AC23="无"),"PASS","CHECK")</x:f>
        <x:v>PASS</x:v>
      </x:c>
    </x:row>
    <x:row r="24">
      <x:c r="A24" s="10" t="str">
        <x:v>OP-PUB-023</x:v>
      </x:c>
      <x:c r="B24" s="8" t="str">
        <x:v>69㎡木色生香北欧风两居</x:v>
      </x:c>
      <x:c r="C24" s="8" t="str">
        <x:v>官网公开案例+AI补全</x:v>
      </x:c>
      <x:c r="D24" s="9" t="b">
        <x:v>1</x:v>
      </x:c>
      <x:c r="E24" s="8" t="str">
        <x:v>https://www.oppein.cn/homematch/556</x:v>
      </x:c>
      <x:c r="F24" s="8" t="str">
        <x:v>https://oppein-shop.obs.cn-south-1.myhuaweicloud.com/fend/productimage/2017041311463488029800408882.jpg</x:v>
      </x:c>
      <x:c r="G24" s="8" t="str">
        <x:v>案例标题;案例URL;主图URL;面积(标题显式);户型(标题显式)</x:v>
      </x:c>
      <x:c r="H24" s="8" t="str">
        <x:v>城市;家庭结构;总预算;标准风格映射;配色;材质;收纳;灯光;成交标签;修改次数;满意度;交期;风险</x:v>
      </x:c>
      <x:c r="I24" s="8" t="str">
        <x:v>华南</x:v>
      </x:c>
      <x:c r="J24" s="8" t="str">
        <x:v>珠海</x:v>
      </x:c>
      <x:c r="K24" s="8" t="str">
        <x:v>两房两厅</x:v>
      </x:c>
      <x:c r="L24" s="8" t="str">
        <x:v>官网标题显式</x:v>
      </x:c>
      <x:c r="M24" s="11" t="n">
        <x:v>69</x:v>
      </x:c>
      <x:c r="N24" s="8" t="str">
        <x:v>官网标题显式</x:v>
      </x:c>
      <x:c r="O24" s="8" t="str">
        <x:v>现代原木</x:v>
      </x:c>
      <x:c r="P24" s="8" t="str">
        <x:v>官网标题＋AI归一化</x:v>
      </x:c>
      <x:c r="Q24" s="8" t="str">
        <x:v>自然北欧</x:v>
      </x:c>
      <x:c r="R24" s="8" t="str">
        <x:v>温暖松弛</x:v>
      </x:c>
      <x:c r="S24" s="12" t="n">
        <x:v>135000</x:v>
      </x:c>
      <x:c r="T24" s="12" t="n">
        <x:v>165000</x:v>
      </x:c>
      <x:c r="U24" s="12" t="n">
        <x:v>150000</x:v>
      </x:c>
      <x:c r="V24" s="8" t="str">
        <x:v>夫妻+1名儿童</x:v>
      </x:c>
      <x:c r="W24" s="8" t="str">
        <x:v>儿童安全;成长收纳</x:v>
      </x:c>
      <x:c r="X24" s="8" t="str">
        <x:v>米白;浅橡木;暖灰</x:v>
      </x:c>
      <x:c r="Y24" s="8" t="str">
        <x:v>木纹板;哑光板;织物</x:v>
      </x:c>
      <x:c r="Z24" s="13" t="n">
        <x:v>0.78</x:v>
      </x:c>
      <x:c r="AA24" s="8" t="str">
        <x:v>暖光无主灯</x:v>
      </x:c>
      <x:c r="AB24" s="8" t="str">
        <x:v>AI模拟已成交标签</x:v>
      </x:c>
      <x:c r="AC24" s="8" t="str">
        <x:v>无</x:v>
      </x:c>
      <x:c r="AD24" s="8" t="n">
        <x:v>3</x:v>
      </x:c>
      <x:c r="AE24" s="14" t="n">
        <x:v>4.6</x:v>
      </x:c>
      <x:c r="AF24" s="8" t="n">
        <x:v>57</x:v>
      </x:c>
      <x:c r="AG24" s="8" t="str">
        <x:v>图片与落地材质需复核</x:v>
      </x:c>
      <x:c r="AH24" s="8" t="str">
        <x:v>仅限内部研究/原页面访问</x:v>
      </x:c>
      <x:c r="AI24" s="8" t="str">
        <x:v>否（未获训练授权）</x:v>
      </x:c>
      <x:c r="AJ24" s="9" t="b">
        <x:v>1</x:v>
      </x:c>
      <x:c r="AK24" s="8" t="str">
        <x:v>官网公开主图URL（不嵌入、不再分发）</x:v>
      </x:c>
      <x:c r="AL24" s="15" t="n">
        <x:v>46220</x:v>
      </x:c>
      <x:c r="AM24" s="8" t="n">
        <x:f>COUNTIF($A$2:$A$61,A24)</x:f>
        <x:v>1</x:v>
      </x:c>
      <x:c r="AN24" s="8" t="str">
        <x:f>IF(AND(AM24=1,M24&gt;=30,M24&lt;=220,S24&lt;=U24,U24&lt;=T24,AJ24=TRUE,AC24="无"),"PASS","CHECK")</x:f>
        <x:v>PASS</x:v>
      </x:c>
    </x:row>
    <x:row r="25">
      <x:c r="A25" s="10" t="str">
        <x:v>OP-PUB-024</x:v>
      </x:c>
      <x:c r="B25" s="8" t="str">
        <x:v>120㎡新中式雅致三居</x:v>
      </x:c>
      <x:c r="C25" s="8" t="str">
        <x:v>官网公开案例+AI补全</x:v>
      </x:c>
      <x:c r="D25" s="9" t="b">
        <x:v>1</x:v>
      </x:c>
      <x:c r="E25" s="8" t="str">
        <x:v>https://www.oppein.cn/homematch/552</x:v>
      </x:c>
      <x:c r="F25" s="8" t="str">
        <x:v>https://oppein-shop.obs.cn-south-1.myhuaweicloud.com/fend/productimage/2016122719583469345800834019.jpg</x:v>
      </x:c>
      <x:c r="G25" s="8" t="str">
        <x:v>案例标题;案例URL;主图URL;面积(标题显式);户型(标题显式);详情页抽查</x:v>
      </x:c>
      <x:c r="H25" s="8" t="str">
        <x:v>城市;家庭结构;总预算;标准风格映射;配色;材质;收纳;灯光;成交标签;修改次数;满意度;交期;风险</x:v>
      </x:c>
      <x:c r="I25" s="8" t="str">
        <x:v>华南</x:v>
      </x:c>
      <x:c r="J25" s="8" t="str">
        <x:v>惠州</x:v>
      </x:c>
      <x:c r="K25" s="8" t="str">
        <x:v>三房两厅</x:v>
      </x:c>
      <x:c r="L25" s="8" t="str">
        <x:v>官网标题/详情</x:v>
      </x:c>
      <x:c r="M25" s="11" t="n">
        <x:v>120</x:v>
      </x:c>
      <x:c r="N25" s="8" t="str">
        <x:v>官网标题显式</x:v>
      </x:c>
      <x:c r="O25" s="8" t="str">
        <x:v>新中式</x:v>
      </x:c>
      <x:c r="P25" s="8" t="str">
        <x:v>官网详情/标题＋AI归一化</x:v>
      </x:c>
      <x:c r="Q25" s="8" t="str">
        <x:v>东方雅致</x:v>
      </x:c>
      <x:c r="R25" s="8" t="str">
        <x:v>安静雅致</x:v>
      </x:c>
      <x:c r="S25" s="12" t="n">
        <x:v>254000</x:v>
      </x:c>
      <x:c r="T25" s="12" t="n">
        <x:v>310000</x:v>
      </x:c>
      <x:c r="U25" s="12" t="n">
        <x:v>282000</x:v>
      </x:c>
      <x:c r="V25" s="8" t="str">
        <x:v>夫妻+老人</x:v>
      </x:c>
      <x:c r="W25" s="8" t="str">
        <x:v>适老;夜间照明;低位收纳</x:v>
      </x:c>
      <x:c r="X25" s="8" t="str">
        <x:v>米白;胡桃木;黛灰</x:v>
      </x:c>
      <x:c r="Y25" s="8" t="str">
        <x:v>木纹板;格栅;岩板;黄铜</x:v>
      </x:c>
      <x:c r="Z25" s="13" t="n">
        <x:v>0.78</x:v>
      </x:c>
      <x:c r="AA25" s="8" t="str">
        <x:v>暖光混合照明</x:v>
      </x:c>
      <x:c r="AB25" s="8" t="str">
        <x:v>AI模拟已成交标签</x:v>
      </x:c>
      <x:c r="AC25" s="8" t="str">
        <x:v>无</x:v>
      </x:c>
      <x:c r="AD25" s="8" t="n">
        <x:v>4</x:v>
      </x:c>
      <x:c r="AE25" s="14" t="n">
        <x:v>4.75</x:v>
      </x:c>
      <x:c r="AF25" s="8" t="n">
        <x:v>62</x:v>
      </x:c>
      <x:c r="AG25" s="8" t="str">
        <x:v>图片与落地材质需复核</x:v>
      </x:c>
      <x:c r="AH25" s="8" t="str">
        <x:v>仅限内部研究/原页面访问</x:v>
      </x:c>
      <x:c r="AI25" s="8" t="str">
        <x:v>否（未获训练授权）</x:v>
      </x:c>
      <x:c r="AJ25" s="9" t="b">
        <x:v>1</x:v>
      </x:c>
      <x:c r="AK25" s="8" t="str">
        <x:v>官网公开主图URL（不嵌入、不再分发）</x:v>
      </x:c>
      <x:c r="AL25" s="15" t="n">
        <x:v>46220</x:v>
      </x:c>
      <x:c r="AM25" s="8" t="n">
        <x:f>COUNTIF($A$2:$A$61,A25)</x:f>
        <x:v>1</x:v>
      </x:c>
      <x:c r="AN25" s="8" t="str">
        <x:f>IF(AND(AM25=1,M25&gt;=30,M25&lt;=220,S25&lt;=U25,U25&lt;=T25,AJ25=TRUE,AC25="无"),"PASS","CHECK")</x:f>
        <x:v>PASS</x:v>
      </x:c>
    </x:row>
    <x:row r="26">
      <x:c r="A26" s="10" t="str">
        <x:v>OP-PUB-025</x:v>
      </x:c>
      <x:c r="B26" s="8" t="str">
        <x:v>亮丽北欧风78㎡潮流两居</x:v>
      </x:c>
      <x:c r="C26" s="8" t="str">
        <x:v>官网公开案例+AI补全</x:v>
      </x:c>
      <x:c r="D26" s="9" t="b">
        <x:v>1</x:v>
      </x:c>
      <x:c r="E26" s="8" t="str">
        <x:v>https://www.oppein.cn/homematch/551</x:v>
      </x:c>
      <x:c r="F26" s="8" t="str">
        <x:v>https://oppein-shop.obs.cn-south-1.myhuaweicloud.com/fend/productimage/2016122714440354448600536647.jpg</x:v>
      </x:c>
      <x:c r="G26" s="8" t="str">
        <x:v>案例标题;案例URL;主图URL;面积(标题显式);户型(标题显式)</x:v>
      </x:c>
      <x:c r="H26" s="8" t="str">
        <x:v>城市;家庭结构;总预算;标准风格映射;配色;材质;收纳;灯光;成交标签;修改次数;满意度;交期;风险</x:v>
      </x:c>
      <x:c r="I26" s="8" t="str">
        <x:v>华南</x:v>
      </x:c>
      <x:c r="J26" s="8" t="str">
        <x:v>广州</x:v>
      </x:c>
      <x:c r="K26" s="8" t="str">
        <x:v>两房两厅</x:v>
      </x:c>
      <x:c r="L26" s="8" t="str">
        <x:v>官网标题显式</x:v>
      </x:c>
      <x:c r="M26" s="11" t="n">
        <x:v>78</x:v>
      </x:c>
      <x:c r="N26" s="8" t="str">
        <x:v>官网标题显式</x:v>
      </x:c>
      <x:c r="O26" s="8" t="str">
        <x:v>现代原木</x:v>
      </x:c>
      <x:c r="P26" s="8" t="str">
        <x:v>官网标题＋AI归一化</x:v>
      </x:c>
      <x:c r="Q26" s="8" t="str">
        <x:v>自然北欧</x:v>
      </x:c>
      <x:c r="R26" s="8" t="str">
        <x:v>温暖松弛</x:v>
      </x:c>
      <x:c r="S26" s="12" t="n">
        <x:v>162000</x:v>
      </x:c>
      <x:c r="T26" s="12" t="n">
        <x:v>198000</x:v>
      </x:c>
      <x:c r="U26" s="12" t="n">
        <x:v>180000</x:v>
      </x:c>
      <x:c r="V26" s="8" t="str">
        <x:v>新婚夫妻</x:v>
      </x:c>
      <x:c r="W26" s="8" t="str">
        <x:v>强收纳;易清洁</x:v>
      </x:c>
      <x:c r="X26" s="8" t="str">
        <x:v>米白;浅橡木;暖灰</x:v>
      </x:c>
      <x:c r="Y26" s="8" t="str">
        <x:v>木纹板;哑光板;织物</x:v>
      </x:c>
      <x:c r="Z26" s="13" t="n">
        <x:v>0.8200000000000001</x:v>
      </x:c>
      <x:c r="AA26" s="8" t="str">
        <x:v>暖光无主灯</x:v>
      </x:c>
      <x:c r="AB26" s="8" t="str">
        <x:v>AI模拟已成交标签</x:v>
      </x:c>
      <x:c r="AC26" s="8" t="str">
        <x:v>无</x:v>
      </x:c>
      <x:c r="AD26" s="8" t="n">
        <x:v>1</x:v>
      </x:c>
      <x:c r="AE26" s="14" t="n">
        <x:v>4</x:v>
      </x:c>
      <x:c r="AF26" s="8" t="n">
        <x:v>67</x:v>
      </x:c>
      <x:c r="AG26" s="8" t="str">
        <x:v>预算接近上限;跨品类交期</x:v>
      </x:c>
      <x:c r="AH26" s="8" t="str">
        <x:v>仅限内部研究/原页面访问</x:v>
      </x:c>
      <x:c r="AI26" s="8" t="str">
        <x:v>否（未获训练授权）</x:v>
      </x:c>
      <x:c r="AJ26" s="9" t="b">
        <x:v>1</x:v>
      </x:c>
      <x:c r="AK26" s="8" t="str">
        <x:v>官网公开主图URL（不嵌入、不再分发）</x:v>
      </x:c>
      <x:c r="AL26" s="15" t="n">
        <x:v>46220</x:v>
      </x:c>
      <x:c r="AM26" s="8" t="n">
        <x:f>COUNTIF($A$2:$A$61,A26)</x:f>
        <x:v>1</x:v>
      </x:c>
      <x:c r="AN26" s="8" t="str">
        <x:f>IF(AND(AM26=1,M26&gt;=30,M26&lt;=220,S26&lt;=U26,U26&lt;=T26,AJ26=TRUE,AC26="无"),"PASS","CHECK")</x:f>
        <x:v>PASS</x:v>
      </x:c>
    </x:row>
    <x:row r="27">
      <x:c r="A27" s="10" t="str">
        <x:v>OP-PUB-026</x:v>
      </x:c>
      <x:c r="B27" s="8" t="str">
        <x:v>治愈系简欧风全家和乐三居</x:v>
      </x:c>
      <x:c r="C27" s="8" t="str">
        <x:v>官网公开案例+AI补全</x:v>
      </x:c>
      <x:c r="D27" s="9" t="b">
        <x:v>1</x:v>
      </x:c>
      <x:c r="E27" s="8" t="str">
        <x:v>https://www.oppein.cn/homematch/546</x:v>
      </x:c>
      <x:c r="F27" s="8" t="str">
        <x:v>https://oppein-shop.obs.cn-south-1.myhuaweicloud.com/fend/productimage/2016091415213833069100761242.jpg</x:v>
      </x:c>
      <x:c r="G27" s="8" t="str">
        <x:v>案例标题;案例URL;主图URL;户型(标题显式)</x:v>
      </x:c>
      <x:c r="H27" s="8" t="str">
        <x:v>城市;家庭结构;总预算;标准风格映射;配色;材质;收纳;灯光;成交标签;修改次数;满意度;交期;风险</x:v>
      </x:c>
      <x:c r="I27" s="8" t="str">
        <x:v>华南</x:v>
      </x:c>
      <x:c r="J27" s="8" t="str">
        <x:v>深圳</x:v>
      </x:c>
      <x:c r="K27" s="8" t="str">
        <x:v>三房两厅</x:v>
      </x:c>
      <x:c r="L27" s="8" t="str">
        <x:v>官网标题显式</x:v>
      </x:c>
      <x:c r="M27" s="11" t="n">
        <x:v>105</x:v>
      </x:c>
      <x:c r="N27" s="8" t="str">
        <x:v>AI模拟</x:v>
      </x:c>
      <x:c r="O27" s="8" t="str">
        <x:v>奶油风</x:v>
      </x:c>
      <x:c r="P27" s="8" t="str">
        <x:v>官网标题＋AI归一化</x:v>
      </x:c>
      <x:c r="Q27" s="8" t="str">
        <x:v>柔和治愈</x:v>
      </x:c>
      <x:c r="R27" s="8" t="str">
        <x:v>温馨柔和</x:v>
      </x:c>
      <x:c r="S27" s="12" t="n">
        <x:v>190000</x:v>
      </x:c>
      <x:c r="T27" s="12" t="n">
        <x:v>232000</x:v>
      </x:c>
      <x:c r="U27" s="12" t="n">
        <x:v>211000</x:v>
      </x:c>
      <x:c r="V27" s="8" t="str">
        <x:v>夫妻+2名儿童</x:v>
      </x:c>
      <x:c r="W27" s="8" t="str">
        <x:v>儿童安全;成长收纳</x:v>
      </x:c>
      <x:c r="X27" s="8" t="str">
        <x:v>奶油白;浅咖;杏色</x:v>
      </x:c>
      <x:c r="Y27" s="8" t="str">
        <x:v>肤感板;柔光砖;织物</x:v>
      </x:c>
      <x:c r="Z27" s="13" t="n">
        <x:v>0.76</x:v>
      </x:c>
      <x:c r="AA27" s="8" t="str">
        <x:v>暖光混合照明</x:v>
      </x:c>
      <x:c r="AB27" s="8" t="str">
        <x:v>AI模拟已成交标签</x:v>
      </x:c>
      <x:c r="AC27" s="8" t="str">
        <x:v>无</x:v>
      </x:c>
      <x:c r="AD27" s="8" t="n">
        <x:v>2</x:v>
      </x:c>
      <x:c r="AE27" s="14" t="n">
        <x:v>4.15</x:v>
      </x:c>
      <x:c r="AF27" s="8" t="n">
        <x:v>72</x:v>
      </x:c>
      <x:c r="AG27" s="8" t="str">
        <x:v>图片与落地材质需复核</x:v>
      </x:c>
      <x:c r="AH27" s="8" t="str">
        <x:v>仅限内部研究/原页面访问</x:v>
      </x:c>
      <x:c r="AI27" s="8" t="str">
        <x:v>否（未获训练授权）</x:v>
      </x:c>
      <x:c r="AJ27" s="9" t="b">
        <x:v>1</x:v>
      </x:c>
      <x:c r="AK27" s="8" t="str">
        <x:v>官网公开主图URL（不嵌入、不再分发）</x:v>
      </x:c>
      <x:c r="AL27" s="15" t="n">
        <x:v>46220</x:v>
      </x:c>
      <x:c r="AM27" s="8" t="n">
        <x:f>COUNTIF($A$2:$A$61,A27)</x:f>
        <x:v>1</x:v>
      </x:c>
      <x:c r="AN27" s="8" t="str">
        <x:f>IF(AND(AM27=1,M27&gt;=30,M27&lt;=220,S27&lt;=U27,U27&lt;=T27,AJ27=TRUE,AC27="无"),"PASS","CHECK")</x:f>
        <x:v>PASS</x:v>
      </x:c>
    </x:row>
    <x:row r="28">
      <x:c r="A28" s="10" t="str">
        <x:v>OP-PUB-027</x:v>
      </x:c>
      <x:c r="B28" s="8" t="str">
        <x:v>120㎡简欧轻奢主义三居</x:v>
      </x:c>
      <x:c r="C28" s="8" t="str">
        <x:v>官网公开案例+AI补全</x:v>
      </x:c>
      <x:c r="D28" s="9" t="b">
        <x:v>1</x:v>
      </x:c>
      <x:c r="E28" s="8" t="str">
        <x:v>https://www.oppein.cn/homematch/505</x:v>
      </x:c>
      <x:c r="F28" s="8" t="str">
        <x:v>https://oppein-shop.obs.cn-south-1.myhuaweicloud.com/fend/productimage/2016052416105374325600311882.jpg</x:v>
      </x:c>
      <x:c r="G28" s="8" t="str">
        <x:v>案例标题;案例URL;主图URL;面积(标题显式);户型(标题显式)</x:v>
      </x:c>
      <x:c r="H28" s="8" t="str">
        <x:v>城市;家庭结构;总预算;标准风格映射;配色;材质;收纳;灯光;成交标签;修改次数;满意度;交期;风险</x:v>
      </x:c>
      <x:c r="I28" s="8" t="str">
        <x:v>华南</x:v>
      </x:c>
      <x:c r="J28" s="8" t="str">
        <x:v>佛山</x:v>
      </x:c>
      <x:c r="K28" s="8" t="str">
        <x:v>三房两厅</x:v>
      </x:c>
      <x:c r="L28" s="8" t="str">
        <x:v>官网标题显式</x:v>
      </x:c>
      <x:c r="M28" s="11" t="n">
        <x:v>120</x:v>
      </x:c>
      <x:c r="N28" s="8" t="str">
        <x:v>官网标题显式</x:v>
      </x:c>
      <x:c r="O28" s="8" t="str">
        <x:v>现代轻奢</x:v>
      </x:c>
      <x:c r="P28" s="8" t="str">
        <x:v>官网标题＋AI归一化</x:v>
      </x:c>
      <x:c r="Q28" s="8" t="str">
        <x:v>意式轻奢</x:v>
      </x:c>
      <x:c r="R28" s="8" t="str">
        <x:v>沉稳精致</x:v>
      </x:c>
      <x:c r="S28" s="12" t="n">
        <x:v>252000</x:v>
      </x:c>
      <x:c r="T28" s="12" t="n">
        <x:v>308000</x:v>
      </x:c>
      <x:c r="U28" s="12" t="n">
        <x:v>280000</x:v>
      </x:c>
      <x:c r="V28" s="8" t="str">
        <x:v>三代同堂</x:v>
      </x:c>
      <x:c r="W28" s="8" t="str">
        <x:v>适老;夜间照明;低位收纳</x:v>
      </x:c>
      <x:c r="X28" s="8" t="str">
        <x:v>暖灰;香槟金;深木</x:v>
      </x:c>
      <x:c r="Y28" s="8" t="str">
        <x:v>岩板;金属;玻璃;肤感板</x:v>
      </x:c>
      <x:c r="Z28" s="13" t="n">
        <x:v>0.7</x:v>
      </x:c>
      <x:c r="AA28" s="8" t="str">
        <x:v>无主灯+重点照明</x:v>
      </x:c>
      <x:c r="AB28" s="8" t="str">
        <x:v>AI模拟已成交标签</x:v>
      </x:c>
      <x:c r="AC28" s="8" t="str">
        <x:v>无</x:v>
      </x:c>
      <x:c r="AD28" s="8" t="n">
        <x:v>3</x:v>
      </x:c>
      <x:c r="AE28" s="14" t="n">
        <x:v>4.3</x:v>
      </x:c>
      <x:c r="AF28" s="8" t="n">
        <x:v>77</x:v>
      </x:c>
      <x:c r="AG28" s="8" t="str">
        <x:v>图片与落地材质需复核</x:v>
      </x:c>
      <x:c r="AH28" s="8" t="str">
        <x:v>仅限内部研究/原页面访问</x:v>
      </x:c>
      <x:c r="AI28" s="8" t="str">
        <x:v>否（未获训练授权）</x:v>
      </x:c>
      <x:c r="AJ28" s="9" t="b">
        <x:v>1</x:v>
      </x:c>
      <x:c r="AK28" s="8" t="str">
        <x:v>官网公开主图URL（不嵌入、不再分发）</x:v>
      </x:c>
      <x:c r="AL28" s="15" t="n">
        <x:v>46220</x:v>
      </x:c>
      <x:c r="AM28" s="8" t="n">
        <x:f>COUNTIF($A$2:$A$61,A28)</x:f>
        <x:v>1</x:v>
      </x:c>
      <x:c r="AN28" s="8" t="str">
        <x:f>IF(AND(AM28=1,M28&gt;=30,M28&lt;=220,S28&lt;=U28,U28&lt;=T28,AJ28=TRUE,AC28="无"),"PASS","CHECK")</x:f>
        <x:v>PASS</x:v>
      </x:c>
    </x:row>
    <x:row r="29">
      <x:c r="A29" s="10" t="str">
        <x:v>OP-PUB-028</x:v>
      </x:c>
      <x:c r="B29" s="8" t="str">
        <x:v>100㎡两居完美利用墙面空间</x:v>
      </x:c>
      <x:c r="C29" s="8" t="str">
        <x:v>官网公开案例+AI补全</x:v>
      </x:c>
      <x:c r="D29" s="9" t="b">
        <x:v>1</x:v>
      </x:c>
      <x:c r="E29" s="8" t="str">
        <x:v>https://www.oppein.cn/homematch/496</x:v>
      </x:c>
      <x:c r="F29" s="8" t="str">
        <x:v>https://oppein-shop.obs.cn-south-1.myhuaweicloud.com/fend/productimage/2016052509430688107000570204.jpg</x:v>
      </x:c>
      <x:c r="G29" s="8" t="str">
        <x:v>案例标题;案例URL;主图URL;面积(标题显式);户型(标题显式)</x:v>
      </x:c>
      <x:c r="H29" s="8" t="str">
        <x:v>城市;家庭结构;总预算;标准风格映射;配色;材质;收纳;灯光;成交标签;修改次数;满意度;交期;风险</x:v>
      </x:c>
      <x:c r="I29" s="8" t="str">
        <x:v>华南</x:v>
      </x:c>
      <x:c r="J29" s="8" t="str">
        <x:v>东莞</x:v>
      </x:c>
      <x:c r="K29" s="8" t="str">
        <x:v>两房两厅</x:v>
      </x:c>
      <x:c r="L29" s="8" t="str">
        <x:v>官网标题显式</x:v>
      </x:c>
      <x:c r="M29" s="11" t="n">
        <x:v>100</x:v>
      </x:c>
      <x:c r="N29" s="8" t="str">
        <x:v>官网标题显式</x:v>
      </x:c>
      <x:c r="O29" s="8" t="str">
        <x:v>现代简约</x:v>
      </x:c>
      <x:c r="P29" s="8" t="str">
        <x:v>官网标题＋AI归一化</x:v>
      </x:c>
      <x:c r="Q29" s="8" t="str">
        <x:v>极简</x:v>
      </x:c>
      <x:c r="R29" s="8" t="str">
        <x:v>明亮有序</x:v>
      </x:c>
      <x:c r="S29" s="12" t="n">
        <x:v>182000</x:v>
      </x:c>
      <x:c r="T29" s="12" t="n">
        <x:v>222000</x:v>
      </x:c>
      <x:c r="U29" s="12" t="n">
        <x:v>202000</x:v>
      </x:c>
      <x:c r="V29" s="8" t="str">
        <x:v>新婚夫妻</x:v>
      </x:c>
      <x:c r="W29" s="8" t="str">
        <x:v>强收纳;易清洁</x:v>
      </x:c>
      <x:c r="X29" s="8" t="str">
        <x:v>米白;浅灰;木色</x:v>
      </x:c>
      <x:c r="Y29" s="8" t="str">
        <x:v>哑光板;岩板;玻璃</x:v>
      </x:c>
      <x:c r="Z29" s="13" t="n">
        <x:v>0.82</x:v>
      </x:c>
      <x:c r="AA29" s="8" t="str">
        <x:v>混合照明</x:v>
      </x:c>
      <x:c r="AB29" s="8" t="str">
        <x:v>AI模拟已成交标签</x:v>
      </x:c>
      <x:c r="AC29" s="8" t="str">
        <x:v>无</x:v>
      </x:c>
      <x:c r="AD29" s="8" t="n">
        <x:v>4</x:v>
      </x:c>
      <x:c r="AE29" s="14" t="n">
        <x:v>4.45</x:v>
      </x:c>
      <x:c r="AF29" s="8" t="n">
        <x:v>82</x:v>
      </x:c>
      <x:c r="AG29" s="8" t="str">
        <x:v>图片与落地材质需复核</x:v>
      </x:c>
      <x:c r="AH29" s="8" t="str">
        <x:v>仅限内部研究/原页面访问</x:v>
      </x:c>
      <x:c r="AI29" s="8" t="str">
        <x:v>否（未获训练授权）</x:v>
      </x:c>
      <x:c r="AJ29" s="9" t="b">
        <x:v>1</x:v>
      </x:c>
      <x:c r="AK29" s="8" t="str">
        <x:v>官网公开主图URL（不嵌入、不再分发）</x:v>
      </x:c>
      <x:c r="AL29" s="15" t="n">
        <x:v>46220</x:v>
      </x:c>
      <x:c r="AM29" s="8" t="n">
        <x:f>COUNTIF($A$2:$A$61,A29)</x:f>
        <x:v>1</x:v>
      </x:c>
      <x:c r="AN29" s="8" t="str">
        <x:f>IF(AND(AM29=1,M29&gt;=30,M29&lt;=220,S29&lt;=U29,U29&lt;=T29,AJ29=TRUE,AC29="无"),"PASS","CHECK")</x:f>
        <x:v>PASS</x:v>
      </x:c>
    </x:row>
    <x:row r="30">
      <x:c r="A30" s="10" t="str">
        <x:v>OP-PUB-029</x:v>
      </x:c>
      <x:c r="B30" s="8" t="str">
        <x:v>巧收纳77.06㎡两居</x:v>
      </x:c>
      <x:c r="C30" s="8" t="str">
        <x:v>官网公开案例+AI补全</x:v>
      </x:c>
      <x:c r="D30" s="9" t="b">
        <x:v>1</x:v>
      </x:c>
      <x:c r="E30" s="8" t="str">
        <x:v>https://www.oppein.cn/homematch/491</x:v>
      </x:c>
      <x:c r="F30" s="8" t="str">
        <x:v>https://oppein-shop.obs.cn-south-1.myhuaweicloud.com/fend/productimage/2016060311061824898900517567.jpg</x:v>
      </x:c>
      <x:c r="G30" s="8" t="str">
        <x:v>案例标题;案例URL;主图URL;面积(标题显式);户型(标题显式);详情页抽查</x:v>
      </x:c>
      <x:c r="H30" s="8" t="str">
        <x:v>城市;家庭结构;总预算;标准风格映射;配色;材质;收纳;灯光;成交标签;修改次数;满意度;交期;风险</x:v>
      </x:c>
      <x:c r="I30" s="8" t="str">
        <x:v>华南</x:v>
      </x:c>
      <x:c r="J30" s="8" t="str">
        <x:v>珠海</x:v>
      </x:c>
      <x:c r="K30" s="8" t="str">
        <x:v>两房两厅</x:v>
      </x:c>
      <x:c r="L30" s="8" t="str">
        <x:v>官网标题/详情</x:v>
      </x:c>
      <x:c r="M30" s="11" t="n">
        <x:v>77.06</x:v>
      </x:c>
      <x:c r="N30" s="8" t="str">
        <x:v>官网标题显式</x:v>
      </x:c>
      <x:c r="O30" s="8" t="str">
        <x:v>现代简约</x:v>
      </x:c>
      <x:c r="P30" s="8" t="str">
        <x:v>官网详情/标题＋AI归一化</x:v>
      </x:c>
      <x:c r="Q30" s="8" t="str">
        <x:v>极简</x:v>
      </x:c>
      <x:c r="R30" s="8" t="str">
        <x:v>明亮有序</x:v>
      </x:c>
      <x:c r="S30" s="12" t="n">
        <x:v>148000</x:v>
      </x:c>
      <x:c r="T30" s="12" t="n">
        <x:v>180000</x:v>
      </x:c>
      <x:c r="U30" s="12" t="n">
        <x:v>164000</x:v>
      </x:c>
      <x:c r="V30" s="8" t="str">
        <x:v>夫妻+1名儿童</x:v>
      </x:c>
      <x:c r="W30" s="8" t="str">
        <x:v>儿童安全;成长收纳</x:v>
      </x:c>
      <x:c r="X30" s="8" t="str">
        <x:v>米白;浅灰;木色</x:v>
      </x:c>
      <x:c r="Y30" s="8" t="str">
        <x:v>哑光板;岩板;玻璃</x:v>
      </x:c>
      <x:c r="Z30" s="13" t="n">
        <x:v>0.84</x:v>
      </x:c>
      <x:c r="AA30" s="8" t="str">
        <x:v>混合照明</x:v>
      </x:c>
      <x:c r="AB30" s="8" t="str">
        <x:v>AI模拟已成交标签</x:v>
      </x:c>
      <x:c r="AC30" s="8" t="str">
        <x:v>无</x:v>
      </x:c>
      <x:c r="AD30" s="8" t="n">
        <x:v>1</x:v>
      </x:c>
      <x:c r="AE30" s="14" t="n">
        <x:v>4.6</x:v>
      </x:c>
      <x:c r="AF30" s="8" t="n">
        <x:v>52</x:v>
      </x:c>
      <x:c r="AG30" s="8" t="str">
        <x:v>预算接近上限;跨品类交期</x:v>
      </x:c>
      <x:c r="AH30" s="8" t="str">
        <x:v>仅限内部研究/原页面访问</x:v>
      </x:c>
      <x:c r="AI30" s="8" t="str">
        <x:v>否（未获训练授权）</x:v>
      </x:c>
      <x:c r="AJ30" s="9" t="b">
        <x:v>1</x:v>
      </x:c>
      <x:c r="AK30" s="8" t="str">
        <x:v>官网公开主图URL（不嵌入、不再分发）</x:v>
      </x:c>
      <x:c r="AL30" s="15" t="n">
        <x:v>46220</x:v>
      </x:c>
      <x:c r="AM30" s="8" t="n">
        <x:f>COUNTIF($A$2:$A$61,A30)</x:f>
        <x:v>1</x:v>
      </x:c>
      <x:c r="AN30" s="8" t="str">
        <x:f>IF(AND(AM30=1,M30&gt;=30,M30&lt;=220,S30&lt;=U30,U30&lt;=T30,AJ30=TRUE,AC30="无"),"PASS","CHECK")</x:f>
        <x:v>PASS</x:v>
      </x:c>
    </x:row>
    <x:row r="31">
      <x:c r="A31" s="10" t="str">
        <x:v>OP-PUB-030</x:v>
      </x:c>
      <x:c r="B31" s="8" t="str">
        <x:v>一居60㎡高规格实用家装</x:v>
      </x:c>
      <x:c r="C31" s="8" t="str">
        <x:v>官网公开案例+AI补全</x:v>
      </x:c>
      <x:c r="D31" s="9" t="b">
        <x:v>1</x:v>
      </x:c>
      <x:c r="E31" s="8" t="str">
        <x:v>https://www.oppein.cn/homematch/486</x:v>
      </x:c>
      <x:c r="F31" s="8" t="str">
        <x:v>https://oppein-shop.obs.cn-south-1.myhuaweicloud.com/fend/productimage/2016041916593734116100212669.jpg</x:v>
      </x:c>
      <x:c r="G31" s="8" t="str">
        <x:v>案例标题;案例URL;主图URL;面积(标题显式);户型(标题显式)</x:v>
      </x:c>
      <x:c r="H31" s="8" t="str">
        <x:v>城市;家庭结构;总预算;标准风格映射;配色;材质;收纳;灯光;成交标签;修改次数;满意度;交期;风险</x:v>
      </x:c>
      <x:c r="I31" s="8" t="str">
        <x:v>华南</x:v>
      </x:c>
      <x:c r="J31" s="8" t="str">
        <x:v>惠州</x:v>
      </x:c>
      <x:c r="K31" s="8" t="str">
        <x:v>一房一厅</x:v>
      </x:c>
      <x:c r="L31" s="8" t="str">
        <x:v>官网标题显式</x:v>
      </x:c>
      <x:c r="M31" s="11" t="n">
        <x:v>60</x:v>
      </x:c>
      <x:c r="N31" s="8" t="str">
        <x:v>官网标题显式</x:v>
      </x:c>
      <x:c r="O31" s="8" t="str">
        <x:v>混合</x:v>
      </x:c>
      <x:c r="P31" s="8" t="str">
        <x:v>官网标题＋AI归一化</x:v>
      </x:c>
      <x:c r="Q31" s="8" t="str">
        <x:v>跨风格混搭</x:v>
      </x:c>
      <x:c r="R31" s="8" t="str">
        <x:v>个性丰富</x:v>
      </x:c>
      <x:c r="S31" s="12" t="n">
        <x:v>132000</x:v>
      </x:c>
      <x:c r="T31" s="12" t="n">
        <x:v>162000</x:v>
      </x:c>
      <x:c r="U31" s="12" t="n">
        <x:v>147000</x:v>
      </x:c>
      <x:c r="V31" s="8" t="str">
        <x:v>新婚夫妻</x:v>
      </x:c>
      <x:c r="W31" s="8" t="str">
        <x:v>强收纳;易清洁</x:v>
      </x:c>
      <x:c r="X31" s="8" t="str">
        <x:v>米白;木色;主题跳色</x:v>
      </x:c>
      <x:c r="Y31" s="8" t="str">
        <x:v>木纹板;织物;金属</x:v>
      </x:c>
      <x:c r="Z31" s="13" t="n">
        <x:v>0.7200000000000001</x:v>
      </x:c>
      <x:c r="AA31" s="8" t="str">
        <x:v>按场景分区照明</x:v>
      </x:c>
      <x:c r="AB31" s="8" t="str">
        <x:v>AI模拟已成交标签</x:v>
      </x:c>
      <x:c r="AC31" s="8" t="str">
        <x:v>无</x:v>
      </x:c>
      <x:c r="AD31" s="8" t="n">
        <x:v>2</x:v>
      </x:c>
      <x:c r="AE31" s="14" t="n">
        <x:v>4.75</x:v>
      </x:c>
      <x:c r="AF31" s="8" t="n">
        <x:v>57</x:v>
      </x:c>
      <x:c r="AG31" s="8" t="str">
        <x:v>图片与落地材质需复核</x:v>
      </x:c>
      <x:c r="AH31" s="8" t="str">
        <x:v>仅限内部研究/原页面访问</x:v>
      </x:c>
      <x:c r="AI31" s="8" t="str">
        <x:v>否（未获训练授权）</x:v>
      </x:c>
      <x:c r="AJ31" s="9" t="b">
        <x:v>1</x:v>
      </x:c>
      <x:c r="AK31" s="8" t="str">
        <x:v>官网公开主图URL（不嵌入、不再分发）</x:v>
      </x:c>
      <x:c r="AL31" s="15" t="n">
        <x:v>46220</x:v>
      </x:c>
      <x:c r="AM31" s="8" t="n">
        <x:f>COUNTIF($A$2:$A$61,A31)</x:f>
        <x:v>1</x:v>
      </x:c>
      <x:c r="AN31" s="8" t="str">
        <x:f>IF(AND(AM31=1,M31&gt;=30,M31&lt;=220,S31&lt;=U31,U31&lt;=T31,AJ31=TRUE,AC31="无"),"PASS","CHECK")</x:f>
        <x:v>PASS</x:v>
      </x:c>
    </x:row>
    <x:row r="32">
      <x:c r="A32" s="10" t="str">
        <x:v>OP-PUB-031</x:v>
      </x:c>
      <x:c r="B32" s="8" t="str">
        <x:v>邂逅古典 雅韵两居</x:v>
      </x:c>
      <x:c r="C32" s="8" t="str">
        <x:v>官网公开案例+AI补全</x:v>
      </x:c>
      <x:c r="D32" s="9" t="b">
        <x:v>1</x:v>
      </x:c>
      <x:c r="E32" s="8" t="str">
        <x:v>https://www.oppein.cn/homematch/477</x:v>
      </x:c>
      <x:c r="F32" s="8" t="str">
        <x:v>https://oppein-shop.obs.cn-south-1.myhuaweicloud.com/fend/productimage/2016042015294419183200601549.jpg</x:v>
      </x:c>
      <x:c r="G32" s="8" t="str">
        <x:v>案例标题;案例URL;主图URL;户型(标题显式)</x:v>
      </x:c>
      <x:c r="H32" s="8" t="str">
        <x:v>城市;家庭结构;总预算;标准风格映射;配色;材质;收纳;灯光;成交标签;修改次数;满意度;交期;风险</x:v>
      </x:c>
      <x:c r="I32" s="8" t="str">
        <x:v>华南</x:v>
      </x:c>
      <x:c r="J32" s="8" t="str">
        <x:v>广州</x:v>
      </x:c>
      <x:c r="K32" s="8" t="str">
        <x:v>两房两厅</x:v>
      </x:c>
      <x:c r="L32" s="8" t="str">
        <x:v>官网标题显式</x:v>
      </x:c>
      <x:c r="M32" s="11" t="n">
        <x:v>76</x:v>
      </x:c>
      <x:c r="N32" s="8" t="str">
        <x:v>AI模拟</x:v>
      </x:c>
      <x:c r="O32" s="8" t="str">
        <x:v>混合</x:v>
      </x:c>
      <x:c r="P32" s="8" t="str">
        <x:v>官网标题＋AI归一化</x:v>
      </x:c>
      <x:c r="Q32" s="8" t="str">
        <x:v>跨风格混搭</x:v>
      </x:c>
      <x:c r="R32" s="8" t="str">
        <x:v>个性丰富</x:v>
      </x:c>
      <x:c r="S32" s="12" t="n">
        <x:v>140000</x:v>
      </x:c>
      <x:c r="T32" s="12" t="n">
        <x:v>172000</x:v>
      </x:c>
      <x:c r="U32" s="12" t="n">
        <x:v>156000</x:v>
      </x:c>
      <x:c r="V32" s="8" t="str">
        <x:v>新婚夫妻</x:v>
      </x:c>
      <x:c r="W32" s="8" t="str">
        <x:v>强收纳;易清洁</x:v>
      </x:c>
      <x:c r="X32" s="8" t="str">
        <x:v>米白;木色;主题跳色</x:v>
      </x:c>
      <x:c r="Y32" s="8" t="str">
        <x:v>木纹板;织物;金属</x:v>
      </x:c>
      <x:c r="Z32" s="13" t="n">
        <x:v>0.64</x:v>
      </x:c>
      <x:c r="AA32" s="8" t="str">
        <x:v>按场景分区照明</x:v>
      </x:c>
      <x:c r="AB32" s="8" t="str">
        <x:v>AI模拟已成交标签</x:v>
      </x:c>
      <x:c r="AC32" s="8" t="str">
        <x:v>无</x:v>
      </x:c>
      <x:c r="AD32" s="8" t="n">
        <x:v>3</x:v>
      </x:c>
      <x:c r="AE32" s="14" t="n">
        <x:v>4</x:v>
      </x:c>
      <x:c r="AF32" s="8" t="n">
        <x:v>62</x:v>
      </x:c>
      <x:c r="AG32" s="8" t="str">
        <x:v>图片与落地材质需复核</x:v>
      </x:c>
      <x:c r="AH32" s="8" t="str">
        <x:v>仅限内部研究/原页面访问</x:v>
      </x:c>
      <x:c r="AI32" s="8" t="str">
        <x:v>否（未获训练授权）</x:v>
      </x:c>
      <x:c r="AJ32" s="9" t="b">
        <x:v>1</x:v>
      </x:c>
      <x:c r="AK32" s="8" t="str">
        <x:v>官网公开主图URL（不嵌入、不再分发）</x:v>
      </x:c>
      <x:c r="AL32" s="15" t="n">
        <x:v>46220</x:v>
      </x:c>
      <x:c r="AM32" s="8" t="n">
        <x:f>COUNTIF($A$2:$A$61,A32)</x:f>
        <x:v>1</x:v>
      </x:c>
      <x:c r="AN32" s="8" t="str">
        <x:f>IF(AND(AM32=1,M32&gt;=30,M32&lt;=220,S32&lt;=U32,U32&lt;=T32,AJ32=TRUE,AC32="无"),"PASS","CHECK")</x:f>
        <x:v>PASS</x:v>
      </x:c>
    </x:row>
    <x:row r="33">
      <x:c r="A33" s="10" t="str">
        <x:v>OP-PUB-032</x:v>
      </x:c>
      <x:c r="B33" s="8" t="str">
        <x:v>春风入户81.01㎡舒适两居</x:v>
      </x:c>
      <x:c r="C33" s="8" t="str">
        <x:v>官网公开案例+AI补全</x:v>
      </x:c>
      <x:c r="D33" s="9" t="b">
        <x:v>1</x:v>
      </x:c>
      <x:c r="E33" s="8" t="str">
        <x:v>https://www.oppein.cn/homematch/450</x:v>
      </x:c>
      <x:c r="F33" s="8" t="str">
        <x:v>https://oppein-shop.obs.cn-south-1.myhuaweicloud.com/fend/productimage/202208101539545419650079033.jpg</x:v>
      </x:c>
      <x:c r="G33" s="8" t="str">
        <x:v>案例标题;案例URL;主图URL;面积(标题显式);户型(标题显式)</x:v>
      </x:c>
      <x:c r="H33" s="8" t="str">
        <x:v>城市;家庭结构;总预算;标准风格映射;配色;材质;收纳;灯光;成交标签;修改次数;满意度;交期;风险</x:v>
      </x:c>
      <x:c r="I33" s="8" t="str">
        <x:v>华南</x:v>
      </x:c>
      <x:c r="J33" s="8" t="str">
        <x:v>深圳</x:v>
      </x:c>
      <x:c r="K33" s="8" t="str">
        <x:v>两房两厅</x:v>
      </x:c>
      <x:c r="L33" s="8" t="str">
        <x:v>官网标题显式</x:v>
      </x:c>
      <x:c r="M33" s="11" t="n">
        <x:v>81.01</x:v>
      </x:c>
      <x:c r="N33" s="8" t="str">
        <x:v>官网标题显式</x:v>
      </x:c>
      <x:c r="O33" s="8" t="str">
        <x:v>奶油风</x:v>
      </x:c>
      <x:c r="P33" s="8" t="str">
        <x:v>官网标题＋AI归一化</x:v>
      </x:c>
      <x:c r="Q33" s="8" t="str">
        <x:v>柔和治愈</x:v>
      </x:c>
      <x:c r="R33" s="8" t="str">
        <x:v>温馨柔和</x:v>
      </x:c>
      <x:c r="S33" s="12" t="n">
        <x:v>152000</x:v>
      </x:c>
      <x:c r="T33" s="12" t="n">
        <x:v>186000</x:v>
      </x:c>
      <x:c r="U33" s="12" t="n">
        <x:v>169000</x:v>
      </x:c>
      <x:c r="V33" s="8" t="str">
        <x:v>夫妻+1名儿童</x:v>
      </x:c>
      <x:c r="W33" s="8" t="str">
        <x:v>儿童安全;成长收纳</x:v>
      </x:c>
      <x:c r="X33" s="8" t="str">
        <x:v>奶油白;浅咖;杏色</x:v>
      </x:c>
      <x:c r="Y33" s="8" t="str">
        <x:v>肤感板;柔光砖;织物</x:v>
      </x:c>
      <x:c r="Z33" s="13" t="n">
        <x:v>0.78</x:v>
      </x:c>
      <x:c r="AA33" s="8" t="str">
        <x:v>暖光混合照明</x:v>
      </x:c>
      <x:c r="AB33" s="8" t="str">
        <x:v>AI模拟已成交标签</x:v>
      </x:c>
      <x:c r="AC33" s="8" t="str">
        <x:v>无</x:v>
      </x:c>
      <x:c r="AD33" s="8" t="n">
        <x:v>4</x:v>
      </x:c>
      <x:c r="AE33" s="14" t="n">
        <x:v>4.15</x:v>
      </x:c>
      <x:c r="AF33" s="8" t="n">
        <x:v>67</x:v>
      </x:c>
      <x:c r="AG33" s="8" t="str">
        <x:v>图片与落地材质需复核</x:v>
      </x:c>
      <x:c r="AH33" s="8" t="str">
        <x:v>仅限内部研究/原页面访问</x:v>
      </x:c>
      <x:c r="AI33" s="8" t="str">
        <x:v>否（未获训练授权）</x:v>
      </x:c>
      <x:c r="AJ33" s="9" t="b">
        <x:v>1</x:v>
      </x:c>
      <x:c r="AK33" s="8" t="str">
        <x:v>官网公开主图URL（不嵌入、不再分发）</x:v>
      </x:c>
      <x:c r="AL33" s="15" t="n">
        <x:v>46220</x:v>
      </x:c>
      <x:c r="AM33" s="8" t="n">
        <x:f>COUNTIF($A$2:$A$61,A33)</x:f>
        <x:v>1</x:v>
      </x:c>
      <x:c r="AN33" s="8" t="str">
        <x:f>IF(AND(AM33=1,M33&gt;=30,M33&lt;=220,S33&lt;=U33,U33&lt;=T33,AJ33=TRUE,AC33="无"),"PASS","CHECK")</x:f>
        <x:v>PASS</x:v>
      </x:c>
    </x:row>
    <x:row r="34">
      <x:c r="A34" s="10" t="str">
        <x:v>OP-PUB-033</x:v>
      </x:c>
      <x:c r="B34" s="8" t="str">
        <x:v>49㎡创意生活浪漫一居</x:v>
      </x:c>
      <x:c r="C34" s="8" t="str">
        <x:v>官网公开案例+AI补全</x:v>
      </x:c>
      <x:c r="D34" s="9" t="b">
        <x:v>1</x:v>
      </x:c>
      <x:c r="E34" s="8" t="str">
        <x:v>https://www.oppein.cn/homematch/443</x:v>
      </x:c>
      <x:c r="F34" s="8" t="str">
        <x:v>https://oppein-shop.obs.cn-south-1.myhuaweicloud.com/fend/productimage/2016031809510162055900718431.jpg</x:v>
      </x:c>
      <x:c r="G34" s="8" t="str">
        <x:v>案例标题;案例URL;主图URL;面积(标题显式);户型(标题显式)</x:v>
      </x:c>
      <x:c r="H34" s="8" t="str">
        <x:v>城市;家庭结构;总预算;标准风格映射;配色;材质;收纳;灯光;成交标签;修改次数;满意度;交期;风险</x:v>
      </x:c>
      <x:c r="I34" s="8" t="str">
        <x:v>华南</x:v>
      </x:c>
      <x:c r="J34" s="8" t="str">
        <x:v>佛山</x:v>
      </x:c>
      <x:c r="K34" s="8" t="str">
        <x:v>一房一厅</x:v>
      </x:c>
      <x:c r="L34" s="8" t="str">
        <x:v>官网标题显式</x:v>
      </x:c>
      <x:c r="M34" s="11" t="n">
        <x:v>49</x:v>
      </x:c>
      <x:c r="N34" s="8" t="str">
        <x:v>官网标题显式</x:v>
      </x:c>
      <x:c r="O34" s="8" t="str">
        <x:v>奶油风</x:v>
      </x:c>
      <x:c r="P34" s="8" t="str">
        <x:v>官网标题＋AI归一化</x:v>
      </x:c>
      <x:c r="Q34" s="8" t="str">
        <x:v>柔和治愈</x:v>
      </x:c>
      <x:c r="R34" s="8" t="str">
        <x:v>温馨柔和</x:v>
      </x:c>
      <x:c r="S34" s="12" t="n">
        <x:v>100000</x:v>
      </x:c>
      <x:c r="T34" s="12" t="n">
        <x:v>122000</x:v>
      </x:c>
      <x:c r="U34" s="12" t="n">
        <x:v>111000</x:v>
      </x:c>
      <x:c r="V34" s="8" t="str">
        <x:v>单身+宠物</x:v>
      </x:c>
      <x:c r="W34" s="8" t="str">
        <x:v>适宠;耐磨易清洁</x:v>
      </x:c>
      <x:c r="X34" s="8" t="str">
        <x:v>奶油白;浅咖;杏色</x:v>
      </x:c>
      <x:c r="Y34" s="8" t="str">
        <x:v>肤感板;柔光砖;织物</x:v>
      </x:c>
      <x:c r="Z34" s="13" t="n">
        <x:v>0.8</x:v>
      </x:c>
      <x:c r="AA34" s="8" t="str">
        <x:v>暖光混合照明</x:v>
      </x:c>
      <x:c r="AB34" s="8" t="str">
        <x:v>AI模拟已成交标签</x:v>
      </x:c>
      <x:c r="AC34" s="8" t="str">
        <x:v>无</x:v>
      </x:c>
      <x:c r="AD34" s="8" t="n">
        <x:v>1</x:v>
      </x:c>
      <x:c r="AE34" s="14" t="n">
        <x:v>4.3</x:v>
      </x:c>
      <x:c r="AF34" s="8" t="n">
        <x:v>72</x:v>
      </x:c>
      <x:c r="AG34" s="8" t="str">
        <x:v>预算接近上限;跨品类交期</x:v>
      </x:c>
      <x:c r="AH34" s="8" t="str">
        <x:v>仅限内部研究/原页面访问</x:v>
      </x:c>
      <x:c r="AI34" s="8" t="str">
        <x:v>否（未获训练授权）</x:v>
      </x:c>
      <x:c r="AJ34" s="9" t="b">
        <x:v>1</x:v>
      </x:c>
      <x:c r="AK34" s="8" t="str">
        <x:v>官网公开主图URL（不嵌入、不再分发）</x:v>
      </x:c>
      <x:c r="AL34" s="15" t="n">
        <x:v>46220</x:v>
      </x:c>
      <x:c r="AM34" s="8" t="n">
        <x:f>COUNTIF($A$2:$A$61,A34)</x:f>
        <x:v>1</x:v>
      </x:c>
      <x:c r="AN34" s="8" t="str">
        <x:f>IF(AND(AM34=1,M34&gt;=30,M34&lt;=220,S34&lt;=U34,U34&lt;=T34,AJ34=TRUE,AC34="无"),"PASS","CHECK")</x:f>
        <x:v>PASS</x:v>
      </x:c>
    </x:row>
    <x:row r="35">
      <x:c r="A35" s="10" t="str">
        <x:v>OP-PUB-034</x:v>
      </x:c>
      <x:c r="B35" s="8" t="str">
        <x:v>95㎡两居淡泊宁静的家</x:v>
      </x:c>
      <x:c r="C35" s="8" t="str">
        <x:v>官网公开案例+AI补全</x:v>
      </x:c>
      <x:c r="D35" s="9" t="b">
        <x:v>1</x:v>
      </x:c>
      <x:c r="E35" s="8" t="str">
        <x:v>https://www.oppein.cn/homematch/363</x:v>
      </x:c>
      <x:c r="F35" s="8" t="str">
        <x:v>https://oppein-shop.obs.cn-south-1.myhuaweicloud.com/fend/productimage/2015121410593206585200544183.jpg</x:v>
      </x:c>
      <x:c r="G35" s="8" t="str">
        <x:v>案例标题;案例URL;主图URL;面积(标题显式);户型(标题显式)</x:v>
      </x:c>
      <x:c r="H35" s="8" t="str">
        <x:v>城市;家庭结构;总预算;标准风格映射;配色;材质;收纳;灯光;成交标签;修改次数;满意度;交期;风险</x:v>
      </x:c>
      <x:c r="I35" s="8" t="str">
        <x:v>华南</x:v>
      </x:c>
      <x:c r="J35" s="8" t="str">
        <x:v>东莞</x:v>
      </x:c>
      <x:c r="K35" s="8" t="str">
        <x:v>两房两厅</x:v>
      </x:c>
      <x:c r="L35" s="8" t="str">
        <x:v>官网标题显式</x:v>
      </x:c>
      <x:c r="M35" s="11" t="n">
        <x:v>95</x:v>
      </x:c>
      <x:c r="N35" s="8" t="str">
        <x:v>官网标题显式</x:v>
      </x:c>
      <x:c r="O35" s="8" t="str">
        <x:v>混合</x:v>
      </x:c>
      <x:c r="P35" s="8" t="str">
        <x:v>官网标题＋AI归一化</x:v>
      </x:c>
      <x:c r="Q35" s="8" t="str">
        <x:v>跨风格混搭</x:v>
      </x:c>
      <x:c r="R35" s="8" t="str">
        <x:v>个性丰富</x:v>
      </x:c>
      <x:c r="S35" s="12" t="n">
        <x:v>192000</x:v>
      </x:c>
      <x:c r="T35" s="12" t="n">
        <x:v>234000</x:v>
      </x:c>
      <x:c r="U35" s="12" t="n">
        <x:v>213000</x:v>
      </x:c>
      <x:c r="V35" s="8" t="str">
        <x:v>新婚夫妻</x:v>
      </x:c>
      <x:c r="W35" s="8" t="str">
        <x:v>强收纳;易清洁</x:v>
      </x:c>
      <x:c r="X35" s="8" t="str">
        <x:v>米白;木色;主题跳色</x:v>
      </x:c>
      <x:c r="Y35" s="8" t="str">
        <x:v>木纹板;织物;金属</x:v>
      </x:c>
      <x:c r="Z35" s="13" t="n">
        <x:v>0.7000000000000001</x:v>
      </x:c>
      <x:c r="AA35" s="8" t="str">
        <x:v>按场景分区照明</x:v>
      </x:c>
      <x:c r="AB35" s="8" t="str">
        <x:v>AI模拟已成交标签</x:v>
      </x:c>
      <x:c r="AC35" s="8" t="str">
        <x:v>无</x:v>
      </x:c>
      <x:c r="AD35" s="8" t="n">
        <x:v>2</x:v>
      </x:c>
      <x:c r="AE35" s="14" t="n">
        <x:v>4.45</x:v>
      </x:c>
      <x:c r="AF35" s="8" t="n">
        <x:v>77</x:v>
      </x:c>
      <x:c r="AG35" s="8" t="str">
        <x:v>图片与落地材质需复核</x:v>
      </x:c>
      <x:c r="AH35" s="8" t="str">
        <x:v>仅限内部研究/原页面访问</x:v>
      </x:c>
      <x:c r="AI35" s="8" t="str">
        <x:v>否（未获训练授权）</x:v>
      </x:c>
      <x:c r="AJ35" s="9" t="b">
        <x:v>1</x:v>
      </x:c>
      <x:c r="AK35" s="8" t="str">
        <x:v>官网公开主图URL（不嵌入、不再分发）</x:v>
      </x:c>
      <x:c r="AL35" s="15" t="n">
        <x:v>46220</x:v>
      </x:c>
      <x:c r="AM35" s="8" t="n">
        <x:f>COUNTIF($A$2:$A$61,A35)</x:f>
        <x:v>1</x:v>
      </x:c>
      <x:c r="AN35" s="8" t="str">
        <x:f>IF(AND(AM35=1,M35&gt;=30,M35&lt;=220,S35&lt;=U35,U35&lt;=T35,AJ35=TRUE,AC35="无"),"PASS","CHECK")</x:f>
        <x:v>PASS</x:v>
      </x:c>
    </x:row>
    <x:row r="36">
      <x:c r="A36" s="10" t="str">
        <x:v>OP-PUB-035</x:v>
      </x:c>
      <x:c r="B36" s="8" t="str">
        <x:v>70㎡小清新温馨两居</x:v>
      </x:c>
      <x:c r="C36" s="8" t="str">
        <x:v>官网公开案例+AI补全</x:v>
      </x:c>
      <x:c r="D36" s="9" t="b">
        <x:v>1</x:v>
      </x:c>
      <x:c r="E36" s="8" t="str">
        <x:v>https://www.oppein.cn/homematch/348</x:v>
      </x:c>
      <x:c r="F36" s="8" t="str">
        <x:v>https://oppein-shop.obs.cn-south-1.myhuaweicloud.com/fend/productimage/2015110616123276612900198447.jpg</x:v>
      </x:c>
      <x:c r="G36" s="8" t="str">
        <x:v>案例标题;案例URL;主图URL;面积(标题显式);户型(标题显式)</x:v>
      </x:c>
      <x:c r="H36" s="8" t="str">
        <x:v>城市;家庭结构;总预算;标准风格映射;配色;材质;收纳;灯光;成交标签;修改次数;满意度;交期;风险</x:v>
      </x:c>
      <x:c r="I36" s="8" t="str">
        <x:v>华南</x:v>
      </x:c>
      <x:c r="J36" s="8" t="str">
        <x:v>珠海</x:v>
      </x:c>
      <x:c r="K36" s="8" t="str">
        <x:v>两房两厅</x:v>
      </x:c>
      <x:c r="L36" s="8" t="str">
        <x:v>官网标题显式</x:v>
      </x:c>
      <x:c r="M36" s="11" t="n">
        <x:v>70</x:v>
      </x:c>
      <x:c r="N36" s="8" t="str">
        <x:v>官网标题显式</x:v>
      </x:c>
      <x:c r="O36" s="8" t="str">
        <x:v>奶油风</x:v>
      </x:c>
      <x:c r="P36" s="8" t="str">
        <x:v>官网标题＋AI归一化</x:v>
      </x:c>
      <x:c r="Q36" s="8" t="str">
        <x:v>柔和治愈</x:v>
      </x:c>
      <x:c r="R36" s="8" t="str">
        <x:v>温馨柔和</x:v>
      </x:c>
      <x:c r="S36" s="12" t="n">
        <x:v>149000</x:v>
      </x:c>
      <x:c r="T36" s="12" t="n">
        <x:v>182000</x:v>
      </x:c>
      <x:c r="U36" s="12" t="n">
        <x:v>165000</x:v>
      </x:c>
      <x:c r="V36" s="8" t="str">
        <x:v>夫妻+1名儿童</x:v>
      </x:c>
      <x:c r="W36" s="8" t="str">
        <x:v>儿童安全;成长收纳</x:v>
      </x:c>
      <x:c r="X36" s="8" t="str">
        <x:v>奶油白;浅咖;杏色</x:v>
      </x:c>
      <x:c r="Y36" s="8" t="str">
        <x:v>肤感板;柔光砖;织物</x:v>
      </x:c>
      <x:c r="Z36" s="13" t="n">
        <x:v>0.8400000000000001</x:v>
      </x:c>
      <x:c r="AA36" s="8" t="str">
        <x:v>暖光混合照明</x:v>
      </x:c>
      <x:c r="AB36" s="8" t="str">
        <x:v>AI模拟已成交标签</x:v>
      </x:c>
      <x:c r="AC36" s="8" t="str">
        <x:v>无</x:v>
      </x:c>
      <x:c r="AD36" s="8" t="n">
        <x:v>3</x:v>
      </x:c>
      <x:c r="AE36" s="14" t="n">
        <x:v>4.6</x:v>
      </x:c>
      <x:c r="AF36" s="8" t="n">
        <x:v>82</x:v>
      </x:c>
      <x:c r="AG36" s="8" t="str">
        <x:v>图片与落地材质需复核</x:v>
      </x:c>
      <x:c r="AH36" s="8" t="str">
        <x:v>仅限内部研究/原页面访问</x:v>
      </x:c>
      <x:c r="AI36" s="8" t="str">
        <x:v>否（未获训练授权）</x:v>
      </x:c>
      <x:c r="AJ36" s="9" t="b">
        <x:v>1</x:v>
      </x:c>
      <x:c r="AK36" s="8" t="str">
        <x:v>官网公开主图URL（不嵌入、不再分发）</x:v>
      </x:c>
      <x:c r="AL36" s="15" t="n">
        <x:v>46220</x:v>
      </x:c>
      <x:c r="AM36" s="8" t="n">
        <x:f>COUNTIF($A$2:$A$61,A36)</x:f>
        <x:v>1</x:v>
      </x:c>
      <x:c r="AN36" s="8" t="str">
        <x:f>IF(AND(AM36=1,M36&gt;=30,M36&lt;=220,S36&lt;=U36,U36&lt;=T36,AJ36=TRUE,AC36="无"),"PASS","CHECK")</x:f>
        <x:v>PASS</x:v>
      </x:c>
    </x:row>
    <x:row r="37">
      <x:c r="A37" s="10" t="str">
        <x:v>OP-PUB-036</x:v>
      </x:c>
      <x:c r="B37" s="8" t="str">
        <x:v>浪漫地中海风格三居</x:v>
      </x:c>
      <x:c r="C37" s="8" t="str">
        <x:v>官网公开案例+AI补全</x:v>
      </x:c>
      <x:c r="D37" s="9" t="b">
        <x:v>1</x:v>
      </x:c>
      <x:c r="E37" s="8" t="str">
        <x:v>https://www.oppein.cn/homematch/289</x:v>
      </x:c>
      <x:c r="F37" s="8" t="str">
        <x:v>https://oppein-shop.obs.cn-south-1.myhuaweicloud.com/fend/productimage/2015040816212559195200946831.jpg</x:v>
      </x:c>
      <x:c r="G37" s="8" t="str">
        <x:v>案例标题;案例URL;主图URL;户型(标题显式)</x:v>
      </x:c>
      <x:c r="H37" s="8" t="str">
        <x:v>城市;家庭结构;总预算;标准风格映射;配色;材质;收纳;灯光;成交标签;修改次数;满意度;交期;风险</x:v>
      </x:c>
      <x:c r="I37" s="8" t="str">
        <x:v>华南</x:v>
      </x:c>
      <x:c r="J37" s="8" t="str">
        <x:v>惠州</x:v>
      </x:c>
      <x:c r="K37" s="8" t="str">
        <x:v>三房两厅</x:v>
      </x:c>
      <x:c r="L37" s="8" t="str">
        <x:v>官网标题显式</x:v>
      </x:c>
      <x:c r="M37" s="11" t="n">
        <x:v>107</x:v>
      </x:c>
      <x:c r="N37" s="8" t="str">
        <x:v>AI模拟</x:v>
      </x:c>
      <x:c r="O37" s="8" t="str">
        <x:v>奶油风</x:v>
      </x:c>
      <x:c r="P37" s="8" t="str">
        <x:v>官网标题＋AI归一化</x:v>
      </x:c>
      <x:c r="Q37" s="8" t="str">
        <x:v>柔和治愈</x:v>
      </x:c>
      <x:c r="R37" s="8" t="str">
        <x:v>温馨柔和</x:v>
      </x:c>
      <x:c r="S37" s="12" t="n">
        <x:v>194000</x:v>
      </x:c>
      <x:c r="T37" s="12" t="n">
        <x:v>237000</x:v>
      </x:c>
      <x:c r="U37" s="12" t="n">
        <x:v>215000</x:v>
      </x:c>
      <x:c r="V37" s="8" t="str">
        <x:v>夫妻+老人</x:v>
      </x:c>
      <x:c r="W37" s="8" t="str">
        <x:v>适老;夜间照明;低位收纳</x:v>
      </x:c>
      <x:c r="X37" s="8" t="str">
        <x:v>奶油白;浅咖;杏色</x:v>
      </x:c>
      <x:c r="Y37" s="8" t="str">
        <x:v>肤感板;柔光砖;织物</x:v>
      </x:c>
      <x:c r="Z37" s="13" t="n">
        <x:v>0.76</x:v>
      </x:c>
      <x:c r="AA37" s="8" t="str">
        <x:v>暖光混合照明</x:v>
      </x:c>
      <x:c r="AB37" s="8" t="str">
        <x:v>AI模拟已成交标签</x:v>
      </x:c>
      <x:c r="AC37" s="8" t="str">
        <x:v>无</x:v>
      </x:c>
      <x:c r="AD37" s="8" t="n">
        <x:v>4</x:v>
      </x:c>
      <x:c r="AE37" s="14" t="n">
        <x:v>4.75</x:v>
      </x:c>
      <x:c r="AF37" s="8" t="n">
        <x:v>52</x:v>
      </x:c>
      <x:c r="AG37" s="8" t="str">
        <x:v>图片与落地材质需复核</x:v>
      </x:c>
      <x:c r="AH37" s="8" t="str">
        <x:v>仅限内部研究/原页面访问</x:v>
      </x:c>
      <x:c r="AI37" s="8" t="str">
        <x:v>否（未获训练授权）</x:v>
      </x:c>
      <x:c r="AJ37" s="9" t="b">
        <x:v>1</x:v>
      </x:c>
      <x:c r="AK37" s="8" t="str">
        <x:v>官网公开主图URL（不嵌入、不再分发）</x:v>
      </x:c>
      <x:c r="AL37" s="15" t="n">
        <x:v>46220</x:v>
      </x:c>
      <x:c r="AM37" s="8" t="n">
        <x:f>COUNTIF($A$2:$A$61,A37)</x:f>
        <x:v>1</x:v>
      </x:c>
      <x:c r="AN37" s="8" t="str">
        <x:f>IF(AND(AM37=1,M37&gt;=30,M37&lt;=220,S37&lt;=U37,U37&lt;=T37,AJ37=TRUE,AC37="无"),"PASS","CHECK")</x:f>
        <x:v>PASS</x:v>
      </x:c>
    </x:row>
    <x:row r="38">
      <x:c r="A38" s="10" t="str">
        <x:v>OP-PUB-037</x:v>
      </x:c>
      <x:c r="B38" s="8" t="str">
        <x:v>80㎡三居休闲自然之家</x:v>
      </x:c>
      <x:c r="C38" s="8" t="str">
        <x:v>官网公开案例+AI补全</x:v>
      </x:c>
      <x:c r="D38" s="9" t="b">
        <x:v>1</x:v>
      </x:c>
      <x:c r="E38" s="8" t="str">
        <x:v>https://www.oppein.cn/homematch/278</x:v>
      </x:c>
      <x:c r="F38" s="8" t="str">
        <x:v>https://oppein-shop.obs.cn-south-1.myhuaweicloud.com/fend/productimage/2015031308481902165300296449.jpg</x:v>
      </x:c>
      <x:c r="G38" s="8" t="str">
        <x:v>案例标题;案例URL;主图URL;面积(标题显式);户型(标题显式)</x:v>
      </x:c>
      <x:c r="H38" s="8" t="str">
        <x:v>城市;家庭结构;总预算;标准风格映射;配色;材质;收纳;灯光;成交标签;修改次数;满意度;交期;风险</x:v>
      </x:c>
      <x:c r="I38" s="8" t="str">
        <x:v>华南</x:v>
      </x:c>
      <x:c r="J38" s="8" t="str">
        <x:v>广州</x:v>
      </x:c>
      <x:c r="K38" s="8" t="str">
        <x:v>三房两厅</x:v>
      </x:c>
      <x:c r="L38" s="8" t="str">
        <x:v>官网标题显式</x:v>
      </x:c>
      <x:c r="M38" s="11" t="n">
        <x:v>80</x:v>
      </x:c>
      <x:c r="N38" s="8" t="str">
        <x:v>官网标题显式</x:v>
      </x:c>
      <x:c r="O38" s="8" t="str">
        <x:v>现代原木</x:v>
      </x:c>
      <x:c r="P38" s="8" t="str">
        <x:v>官网标题＋AI归一化</x:v>
      </x:c>
      <x:c r="Q38" s="8" t="str">
        <x:v>自然北欧</x:v>
      </x:c>
      <x:c r="R38" s="8" t="str">
        <x:v>温暖松弛</x:v>
      </x:c>
      <x:c r="S38" s="12" t="n">
        <x:v>149000</x:v>
      </x:c>
      <x:c r="T38" s="12" t="n">
        <x:v>183000</x:v>
      </x:c>
      <x:c r="U38" s="12" t="n">
        <x:v>166000</x:v>
      </x:c>
      <x:c r="V38" s="8" t="str">
        <x:v>夫妻+1名儿童</x:v>
      </x:c>
      <x:c r="W38" s="8" t="str">
        <x:v>儿童安全;成长收纳</x:v>
      </x:c>
      <x:c r="X38" s="8" t="str">
        <x:v>米白;浅橡木;暖灰</x:v>
      </x:c>
      <x:c r="Y38" s="8" t="str">
        <x:v>木纹板;哑光板;织物</x:v>
      </x:c>
      <x:c r="Z38" s="13" t="n">
        <x:v>0.76</x:v>
      </x:c>
      <x:c r="AA38" s="8" t="str">
        <x:v>暖光无主灯</x:v>
      </x:c>
      <x:c r="AB38" s="8" t="str">
        <x:v>AI模拟已成交标签</x:v>
      </x:c>
      <x:c r="AC38" s="8" t="str">
        <x:v>无</x:v>
      </x:c>
      <x:c r="AD38" s="8" t="n">
        <x:v>1</x:v>
      </x:c>
      <x:c r="AE38" s="14" t="n">
        <x:v>4</x:v>
      </x:c>
      <x:c r="AF38" s="8" t="n">
        <x:v>57</x:v>
      </x:c>
      <x:c r="AG38" s="8" t="str">
        <x:v>预算接近上限;跨品类交期</x:v>
      </x:c>
      <x:c r="AH38" s="8" t="str">
        <x:v>仅限内部研究/原页面访问</x:v>
      </x:c>
      <x:c r="AI38" s="8" t="str">
        <x:v>否（未获训练授权）</x:v>
      </x:c>
      <x:c r="AJ38" s="9" t="b">
        <x:v>1</x:v>
      </x:c>
      <x:c r="AK38" s="8" t="str">
        <x:v>官网公开主图URL（不嵌入、不再分发）</x:v>
      </x:c>
      <x:c r="AL38" s="15" t="n">
        <x:v>46220</x:v>
      </x:c>
      <x:c r="AM38" s="8" t="n">
        <x:f>COUNTIF($A$2:$A$61,A38)</x:f>
        <x:v>1</x:v>
      </x:c>
      <x:c r="AN38" s="8" t="str">
        <x:f>IF(AND(AM38=1,M38&gt;=30,M38&lt;=220,S38&lt;=U38,U38&lt;=T38,AJ38=TRUE,AC38="无"),"PASS","CHECK")</x:f>
        <x:v>PASS</x:v>
      </x:c>
    </x:row>
    <x:row r="39">
      <x:c r="A39" s="10" t="str">
        <x:v>OP-PUB-038</x:v>
      </x:c>
      <x:c r="B39" s="8" t="str">
        <x:v>39㎡时尚混搭单身公寓</x:v>
      </x:c>
      <x:c r="C39" s="8" t="str">
        <x:v>官网公开案例+AI补全</x:v>
      </x:c>
      <x:c r="D39" s="9" t="b">
        <x:v>1</x:v>
      </x:c>
      <x:c r="E39" s="8" t="str">
        <x:v>https://www.oppein.cn/homematch/244</x:v>
      </x:c>
      <x:c r="F39" s="8" t="str">
        <x:v>https://oppein-shop.obs.cn-south-1.myhuaweicloud.com/fend/productimage/2017050417130531481400964739.jpg</x:v>
      </x:c>
      <x:c r="G39" s="8" t="str">
        <x:v>案例标题;案例URL;主图URL;面积(标题显式);详情页抽查</x:v>
      </x:c>
      <x:c r="H39" s="8" t="str">
        <x:v>城市;家庭结构;总预算;标准风格映射;配色;材质;收纳;灯光;成交标签;修改次数;满意度;交期;风险</x:v>
      </x:c>
      <x:c r="I39" s="8" t="str">
        <x:v>华南</x:v>
      </x:c>
      <x:c r="J39" s="8" t="str">
        <x:v>深圳</x:v>
      </x:c>
      <x:c r="K39" s="8" t="str">
        <x:v>一房一厅</x:v>
      </x:c>
      <x:c r="L39" s="8" t="str">
        <x:v>AI模拟</x:v>
      </x:c>
      <x:c r="M39" s="11" t="n">
        <x:v>39</x:v>
      </x:c>
      <x:c r="N39" s="8" t="str">
        <x:v>官网标题显式</x:v>
      </x:c>
      <x:c r="O39" s="8" t="str">
        <x:v>现代简约</x:v>
      </x:c>
      <x:c r="P39" s="8" t="str">
        <x:v>官网详情/标题＋AI归一化</x:v>
      </x:c>
      <x:c r="Q39" s="8" t="str">
        <x:v>极简</x:v>
      </x:c>
      <x:c r="R39" s="8" t="str">
        <x:v>明亮有序</x:v>
      </x:c>
      <x:c r="S39" s="12" t="n">
        <x:v>81000</x:v>
      </x:c>
      <x:c r="T39" s="12" t="n">
        <x:v>99000</x:v>
      </x:c>
      <x:c r="U39" s="12" t="n">
        <x:v>90000</x:v>
      </x:c>
      <x:c r="V39" s="8" t="str">
        <x:v>新婚夫妻</x:v>
      </x:c>
      <x:c r="W39" s="8" t="str">
        <x:v>强收纳;易清洁</x:v>
      </x:c>
      <x:c r="X39" s="8" t="str">
        <x:v>米白;浅灰;木色</x:v>
      </x:c>
      <x:c r="Y39" s="8" t="str">
        <x:v>哑光板;岩板;玻璃</x:v>
      </x:c>
      <x:c r="Z39" s="13" t="n">
        <x:v>0.82</x:v>
      </x:c>
      <x:c r="AA39" s="8" t="str">
        <x:v>混合照明</x:v>
      </x:c>
      <x:c r="AB39" s="8" t="str">
        <x:v>AI模拟已成交标签</x:v>
      </x:c>
      <x:c r="AC39" s="8" t="str">
        <x:v>无</x:v>
      </x:c>
      <x:c r="AD39" s="8" t="n">
        <x:v>2</x:v>
      </x:c>
      <x:c r="AE39" s="14" t="n">
        <x:v>4.15</x:v>
      </x:c>
      <x:c r="AF39" s="8" t="n">
        <x:v>62</x:v>
      </x:c>
      <x:c r="AG39" s="8" t="str">
        <x:v>图片与落地材质需复核</x:v>
      </x:c>
      <x:c r="AH39" s="8" t="str">
        <x:v>仅限内部研究/原页面访问</x:v>
      </x:c>
      <x:c r="AI39" s="8" t="str">
        <x:v>否（未获训练授权）</x:v>
      </x:c>
      <x:c r="AJ39" s="9" t="b">
        <x:v>1</x:v>
      </x:c>
      <x:c r="AK39" s="8" t="str">
        <x:v>官网公开主图URL（不嵌入、不再分发）</x:v>
      </x:c>
      <x:c r="AL39" s="15" t="n">
        <x:v>46220</x:v>
      </x:c>
      <x:c r="AM39" s="8" t="n">
        <x:f>COUNTIF($A$2:$A$61,A39)</x:f>
        <x:v>1</x:v>
      </x:c>
      <x:c r="AN39" s="8" t="str">
        <x:f>IF(AND(AM39=1,M39&gt;=30,M39&lt;=220,S39&lt;=U39,U39&lt;=T39,AJ39=TRUE,AC39="无"),"PASS","CHECK")</x:f>
        <x:v>PASS</x:v>
      </x:c>
    </x:row>
    <x:row r="40">
      <x:c r="A40" s="10" t="str">
        <x:v>OP-PUB-039</x:v>
      </x:c>
      <x:c r="B40" s="8" t="str">
        <x:v>85㎡中式古朴素雅三居</x:v>
      </x:c>
      <x:c r="C40" s="8" t="str">
        <x:v>官网公开案例+AI补全</x:v>
      </x:c>
      <x:c r="D40" s="9" t="b">
        <x:v>1</x:v>
      </x:c>
      <x:c r="E40" s="8" t="str">
        <x:v>https://www.oppein.cn/homematch/221</x:v>
      </x:c>
      <x:c r="F40" s="8" t="str">
        <x:v>https://oppein-shop.obs.cn-south-1.myhuaweicloud.com/fend/productimage/2014122316503604764400888502.jpg</x:v>
      </x:c>
      <x:c r="G40" s="8" t="str">
        <x:v>案例标题;案例URL;主图URL;面积(标题显式);户型(标题显式)</x:v>
      </x:c>
      <x:c r="H40" s="8" t="str">
        <x:v>城市;家庭结构;总预算;标准风格映射;配色;材质;收纳;灯光;成交标签;修改次数;满意度;交期;风险</x:v>
      </x:c>
      <x:c r="I40" s="8" t="str">
        <x:v>华南</x:v>
      </x:c>
      <x:c r="J40" s="8" t="str">
        <x:v>佛山</x:v>
      </x:c>
      <x:c r="K40" s="8" t="str">
        <x:v>三房两厅</x:v>
      </x:c>
      <x:c r="L40" s="8" t="str">
        <x:v>官网标题显式</x:v>
      </x:c>
      <x:c r="M40" s="11" t="n">
        <x:v>85</x:v>
      </x:c>
      <x:c r="N40" s="8" t="str">
        <x:v>官网标题显式</x:v>
      </x:c>
      <x:c r="O40" s="8" t="str">
        <x:v>新中式</x:v>
      </x:c>
      <x:c r="P40" s="8" t="str">
        <x:v>官网标题＋AI归一化</x:v>
      </x:c>
      <x:c r="Q40" s="8" t="str">
        <x:v>东方雅致</x:v>
      </x:c>
      <x:c r="R40" s="8" t="str">
        <x:v>安静雅致</x:v>
      </x:c>
      <x:c r="S40" s="12" t="n">
        <x:v>185000</x:v>
      </x:c>
      <x:c r="T40" s="12" t="n">
        <x:v>226000</x:v>
      </x:c>
      <x:c r="U40" s="12" t="n">
        <x:v>205000</x:v>
      </x:c>
      <x:c r="V40" s="8" t="str">
        <x:v>三代同堂</x:v>
      </x:c>
      <x:c r="W40" s="8" t="str">
        <x:v>适老;夜间照明;低位收纳</x:v>
      </x:c>
      <x:c r="X40" s="8" t="str">
        <x:v>米白;胡桃木;黛灰</x:v>
      </x:c>
      <x:c r="Y40" s="8" t="str">
        <x:v>木纹板;格栅;岩板;黄铜</x:v>
      </x:c>
      <x:c r="Z40" s="13" t="n">
        <x:v>0.78</x:v>
      </x:c>
      <x:c r="AA40" s="8" t="str">
        <x:v>暖光混合照明</x:v>
      </x:c>
      <x:c r="AB40" s="8" t="str">
        <x:v>AI模拟已成交标签</x:v>
      </x:c>
      <x:c r="AC40" s="8" t="str">
        <x:v>无</x:v>
      </x:c>
      <x:c r="AD40" s="8" t="n">
        <x:v>3</x:v>
      </x:c>
      <x:c r="AE40" s="14" t="n">
        <x:v>4.3</x:v>
      </x:c>
      <x:c r="AF40" s="8" t="n">
        <x:v>67</x:v>
      </x:c>
      <x:c r="AG40" s="8" t="str">
        <x:v>图片与落地材质需复核</x:v>
      </x:c>
      <x:c r="AH40" s="8" t="str">
        <x:v>仅限内部研究/原页面访问</x:v>
      </x:c>
      <x:c r="AI40" s="8" t="str">
        <x:v>否（未获训练授权）</x:v>
      </x:c>
      <x:c r="AJ40" s="9" t="b">
        <x:v>1</x:v>
      </x:c>
      <x:c r="AK40" s="8" t="str">
        <x:v>官网公开主图URL（不嵌入、不再分发）</x:v>
      </x:c>
      <x:c r="AL40" s="15" t="n">
        <x:v>46220</x:v>
      </x:c>
      <x:c r="AM40" s="8" t="n">
        <x:f>COUNTIF($A$2:$A$61,A40)</x:f>
        <x:v>1</x:v>
      </x:c>
      <x:c r="AN40" s="8" t="str">
        <x:f>IF(AND(AM40=1,M40&gt;=30,M40&lt;=220,S40&lt;=U40,U40&lt;=T40,AJ40=TRUE,AC40="无"),"PASS","CHECK")</x:f>
        <x:v>PASS</x:v>
      </x:c>
    </x:row>
    <x:row r="41">
      <x:c r="A41" s="10" t="str">
        <x:v>OP-PUB-040</x:v>
      </x:c>
      <x:c r="B41" s="8" t="str">
        <x:v>91㎡三居欧式田园温馨之家</x:v>
      </x:c>
      <x:c r="C41" s="8" t="str">
        <x:v>官网公开案例+AI补全</x:v>
      </x:c>
      <x:c r="D41" s="9" t="b">
        <x:v>1</x:v>
      </x:c>
      <x:c r="E41" s="8" t="str">
        <x:v>https://www.oppein.cn/homematch/215</x:v>
      </x:c>
      <x:c r="F41" s="8" t="str">
        <x:v>https://oppein-shop.obs.cn-south-1.myhuaweicloud.com/fend/productimage/2014121613552016408400272078.jpg</x:v>
      </x:c>
      <x:c r="G41" s="8" t="str">
        <x:v>案例标题;案例URL;主图URL;面积(标题显式);户型(标题显式)</x:v>
      </x:c>
      <x:c r="H41" s="8" t="str">
        <x:v>城市;家庭结构;总预算;标准风格映射;配色;材质;收纳;灯光;成交标签;修改次数;满意度;交期;风险</x:v>
      </x:c>
      <x:c r="I41" s="8" t="str">
        <x:v>华南</x:v>
      </x:c>
      <x:c r="J41" s="8" t="str">
        <x:v>东莞</x:v>
      </x:c>
      <x:c r="K41" s="8" t="str">
        <x:v>三房两厅</x:v>
      </x:c>
      <x:c r="L41" s="8" t="str">
        <x:v>官网标题显式</x:v>
      </x:c>
      <x:c r="M41" s="11" t="n">
        <x:v>91</x:v>
      </x:c>
      <x:c r="N41" s="8" t="str">
        <x:v>官网标题显式</x:v>
      </x:c>
      <x:c r="O41" s="8" t="str">
        <x:v>奶油风</x:v>
      </x:c>
      <x:c r="P41" s="8" t="str">
        <x:v>官网标题＋AI归一化</x:v>
      </x:c>
      <x:c r="Q41" s="8" t="str">
        <x:v>柔和治愈</x:v>
      </x:c>
      <x:c r="R41" s="8" t="str">
        <x:v>温馨柔和</x:v>
      </x:c>
      <x:c r="S41" s="12" t="n">
        <x:v>186000</x:v>
      </x:c>
      <x:c r="T41" s="12" t="n">
        <x:v>228000</x:v>
      </x:c>
      <x:c r="U41" s="12" t="n">
        <x:v>207000</x:v>
      </x:c>
      <x:c r="V41" s="8" t="str">
        <x:v>夫妻+老人</x:v>
      </x:c>
      <x:c r="W41" s="8" t="str">
        <x:v>适老;夜间照明;低位收纳</x:v>
      </x:c>
      <x:c r="X41" s="8" t="str">
        <x:v>奶油白;浅咖;杏色</x:v>
      </x:c>
      <x:c r="Y41" s="8" t="str">
        <x:v>肤感板;柔光砖;织物</x:v>
      </x:c>
      <x:c r="Z41" s="13" t="n">
        <x:v>0.8400000000000001</x:v>
      </x:c>
      <x:c r="AA41" s="8" t="str">
        <x:v>暖光混合照明</x:v>
      </x:c>
      <x:c r="AB41" s="8" t="str">
        <x:v>AI模拟已成交标签</x:v>
      </x:c>
      <x:c r="AC41" s="8" t="str">
        <x:v>无</x:v>
      </x:c>
      <x:c r="AD41" s="8" t="n">
        <x:v>4</x:v>
      </x:c>
      <x:c r="AE41" s="14" t="n">
        <x:v>4.45</x:v>
      </x:c>
      <x:c r="AF41" s="8" t="n">
        <x:v>72</x:v>
      </x:c>
      <x:c r="AG41" s="8" t="str">
        <x:v>图片与落地材质需复核</x:v>
      </x:c>
      <x:c r="AH41" s="8" t="str">
        <x:v>仅限内部研究/原页面访问</x:v>
      </x:c>
      <x:c r="AI41" s="8" t="str">
        <x:v>否（未获训练授权）</x:v>
      </x:c>
      <x:c r="AJ41" s="9" t="b">
        <x:v>1</x:v>
      </x:c>
      <x:c r="AK41" s="8" t="str">
        <x:v>官网公开主图URL（不嵌入、不再分发）</x:v>
      </x:c>
      <x:c r="AL41" s="15" t="n">
        <x:v>46220</x:v>
      </x:c>
      <x:c r="AM41" s="8" t="n">
        <x:f>COUNTIF($A$2:$A$61,A41)</x:f>
        <x:v>1</x:v>
      </x:c>
      <x:c r="AN41" s="8" t="str">
        <x:f>IF(AND(AM41=1,M41&gt;=30,M41&lt;=220,S41&lt;=U41,U41&lt;=T41,AJ41=TRUE,AC41="无"),"PASS","CHECK")</x:f>
        <x:v>PASS</x:v>
      </x:c>
    </x:row>
    <x:row r="42">
      <x:c r="A42" s="10" t="str">
        <x:v>OP-PUB-041</x:v>
      </x:c>
      <x:c r="B42" s="8" t="str">
        <x:v>123㎡温馨舒适的三居之家</x:v>
      </x:c>
      <x:c r="C42" s="8" t="str">
        <x:v>官网公开案例+AI补全</x:v>
      </x:c>
      <x:c r="D42" s="9" t="b">
        <x:v>1</x:v>
      </x:c>
      <x:c r="E42" s="8" t="str">
        <x:v>https://www.oppein.cn/homematch/203</x:v>
      </x:c>
      <x:c r="F42" s="8" t="str">
        <x:v>https://oppein-shop.obs.cn-south-1.myhuaweicloud.com/fend/productimage/2014121814432058474000206432.jpg</x:v>
      </x:c>
      <x:c r="G42" s="8" t="str">
        <x:v>案例标题;案例URL;主图URL;面积(标题显式);户型(标题显式)</x:v>
      </x:c>
      <x:c r="H42" s="8" t="str">
        <x:v>城市;家庭结构;总预算;标准风格映射;配色;材质;收纳;灯光;成交标签;修改次数;满意度;交期;风险</x:v>
      </x:c>
      <x:c r="I42" s="8" t="str">
        <x:v>华南</x:v>
      </x:c>
      <x:c r="J42" s="8" t="str">
        <x:v>珠海</x:v>
      </x:c>
      <x:c r="K42" s="8" t="str">
        <x:v>三房两厅</x:v>
      </x:c>
      <x:c r="L42" s="8" t="str">
        <x:v>官网标题显式</x:v>
      </x:c>
      <x:c r="M42" s="11" t="n">
        <x:v>123</x:v>
      </x:c>
      <x:c r="N42" s="8" t="str">
        <x:v>官网标题显式</x:v>
      </x:c>
      <x:c r="O42" s="8" t="str">
        <x:v>奶油风</x:v>
      </x:c>
      <x:c r="P42" s="8" t="str">
        <x:v>官网标题＋AI归一化</x:v>
      </x:c>
      <x:c r="Q42" s="8" t="str">
        <x:v>柔和治愈</x:v>
      </x:c>
      <x:c r="R42" s="8" t="str">
        <x:v>温馨柔和</x:v>
      </x:c>
      <x:c r="S42" s="12" t="n">
        <x:v>223000</x:v>
      </x:c>
      <x:c r="T42" s="12" t="n">
        <x:v>273000</x:v>
      </x:c>
      <x:c r="U42" s="12" t="n">
        <x:v>248000</x:v>
      </x:c>
      <x:c r="V42" s="8" t="str">
        <x:v>夫妻+1名儿童</x:v>
      </x:c>
      <x:c r="W42" s="8" t="str">
        <x:v>儿童安全;成长收纳</x:v>
      </x:c>
      <x:c r="X42" s="8" t="str">
        <x:v>奶油白;浅咖;杏色</x:v>
      </x:c>
      <x:c r="Y42" s="8" t="str">
        <x:v>肤感板;柔光砖;织物</x:v>
      </x:c>
      <x:c r="Z42" s="13" t="n">
        <x:v>0.76</x:v>
      </x:c>
      <x:c r="AA42" s="8" t="str">
        <x:v>暖光混合照明</x:v>
      </x:c>
      <x:c r="AB42" s="8" t="str">
        <x:v>AI模拟已成交标签</x:v>
      </x:c>
      <x:c r="AC42" s="8" t="str">
        <x:v>无</x:v>
      </x:c>
      <x:c r="AD42" s="8" t="n">
        <x:v>1</x:v>
      </x:c>
      <x:c r="AE42" s="14" t="n">
        <x:v>4.6</x:v>
      </x:c>
      <x:c r="AF42" s="8" t="n">
        <x:v>77</x:v>
      </x:c>
      <x:c r="AG42" s="8" t="str">
        <x:v>预算接近上限;跨品类交期</x:v>
      </x:c>
      <x:c r="AH42" s="8" t="str">
        <x:v>仅限内部研究/原页面访问</x:v>
      </x:c>
      <x:c r="AI42" s="8" t="str">
        <x:v>否（未获训练授权）</x:v>
      </x:c>
      <x:c r="AJ42" s="9" t="b">
        <x:v>1</x:v>
      </x:c>
      <x:c r="AK42" s="8" t="str">
        <x:v>官网公开主图URL（不嵌入、不再分发）</x:v>
      </x:c>
      <x:c r="AL42" s="15" t="n">
        <x:v>46220</x:v>
      </x:c>
      <x:c r="AM42" s="8" t="n">
        <x:f>COUNTIF($A$2:$A$61,A42)</x:f>
        <x:v>1</x:v>
      </x:c>
      <x:c r="AN42" s="8" t="str">
        <x:f>IF(AND(AM42=1,M42&gt;=30,M42&lt;=220,S42&lt;=U42,U42&lt;=T42,AJ42=TRUE,AC42="无"),"PASS","CHECK")</x:f>
        <x:v>PASS</x:v>
      </x:c>
    </x:row>
    <x:row r="43">
      <x:c r="A43" s="10" t="str">
        <x:v>OP-PUB-042</x:v>
      </x:c>
      <x:c r="B43" s="8" t="str">
        <x:v>85㎡两居浪漫地中海风格之家</x:v>
      </x:c>
      <x:c r="C43" s="8" t="str">
        <x:v>官网公开案例+AI补全</x:v>
      </x:c>
      <x:c r="D43" s="9" t="b">
        <x:v>1</x:v>
      </x:c>
      <x:c r="E43" s="8" t="str">
        <x:v>https://www.oppein.cn/homematch/186</x:v>
      </x:c>
      <x:c r="F43" s="8" t="str">
        <x:v>https://oppein-shop.obs.cn-south-1.myhuaweicloud.com/fend/productimage/2014121610410615664300909821.jpg</x:v>
      </x:c>
      <x:c r="G43" s="8" t="str">
        <x:v>案例标题;案例URL;主图URL;面积(标题显式);户型(标题显式)</x:v>
      </x:c>
      <x:c r="H43" s="8" t="str">
        <x:v>城市;家庭结构;总预算;标准风格映射;配色;材质;收纳;灯光;成交标签;修改次数;满意度;交期;风险</x:v>
      </x:c>
      <x:c r="I43" s="8" t="str">
        <x:v>华南</x:v>
      </x:c>
      <x:c r="J43" s="8" t="str">
        <x:v>惠州</x:v>
      </x:c>
      <x:c r="K43" s="8" t="str">
        <x:v>两房两厅</x:v>
      </x:c>
      <x:c r="L43" s="8" t="str">
        <x:v>官网标题显式</x:v>
      </x:c>
      <x:c r="M43" s="11" t="n">
        <x:v>85</x:v>
      </x:c>
      <x:c r="N43" s="8" t="str">
        <x:v>官网标题显式</x:v>
      </x:c>
      <x:c r="O43" s="8" t="str">
        <x:v>奶油风</x:v>
      </x:c>
      <x:c r="P43" s="8" t="str">
        <x:v>官网标题＋AI归一化</x:v>
      </x:c>
      <x:c r="Q43" s="8" t="str">
        <x:v>柔和治愈</x:v>
      </x:c>
      <x:c r="R43" s="8" t="str">
        <x:v>温馨柔和</x:v>
      </x:c>
      <x:c r="S43" s="12" t="n">
        <x:v>159000</x:v>
      </x:c>
      <x:c r="T43" s="12" t="n">
        <x:v>195000</x:v>
      </x:c>
      <x:c r="U43" s="12" t="n">
        <x:v>177000</x:v>
      </x:c>
      <x:c r="V43" s="8" t="str">
        <x:v>夫妻+宠物</x:v>
      </x:c>
      <x:c r="W43" s="8" t="str">
        <x:v>适宠;耐磨易清洁</x:v>
      </x:c>
      <x:c r="X43" s="8" t="str">
        <x:v>奶油白;浅咖;杏色</x:v>
      </x:c>
      <x:c r="Y43" s="8" t="str">
        <x:v>肤感板;柔光砖;织物</x:v>
      </x:c>
      <x:c r="Z43" s="13" t="n">
        <x:v>0.78</x:v>
      </x:c>
      <x:c r="AA43" s="8" t="str">
        <x:v>暖光混合照明</x:v>
      </x:c>
      <x:c r="AB43" s="8" t="str">
        <x:v>AI模拟已成交标签</x:v>
      </x:c>
      <x:c r="AC43" s="8" t="str">
        <x:v>无</x:v>
      </x:c>
      <x:c r="AD43" s="8" t="n">
        <x:v>2</x:v>
      </x:c>
      <x:c r="AE43" s="14" t="n">
        <x:v>4.75</x:v>
      </x:c>
      <x:c r="AF43" s="8" t="n">
        <x:v>82</x:v>
      </x:c>
      <x:c r="AG43" s="8" t="str">
        <x:v>图片与落地材质需复核</x:v>
      </x:c>
      <x:c r="AH43" s="8" t="str">
        <x:v>仅限内部研究/原页面访问</x:v>
      </x:c>
      <x:c r="AI43" s="8" t="str">
        <x:v>否（未获训练授权）</x:v>
      </x:c>
      <x:c r="AJ43" s="9" t="b">
        <x:v>1</x:v>
      </x:c>
      <x:c r="AK43" s="8" t="str">
        <x:v>官网公开主图URL（不嵌入、不再分发）</x:v>
      </x:c>
      <x:c r="AL43" s="15" t="n">
        <x:v>46220</x:v>
      </x:c>
      <x:c r="AM43" s="8" t="n">
        <x:f>COUNTIF($A$2:$A$61,A43)</x:f>
        <x:v>1</x:v>
      </x:c>
      <x:c r="AN43" s="8" t="str">
        <x:f>IF(AND(AM43=1,M43&gt;=30,M43&lt;=220,S43&lt;=U43,U43&lt;=T43,AJ43=TRUE,AC43="无"),"PASS","CHECK")</x:f>
        <x:v>PASS</x:v>
      </x:c>
    </x:row>
    <x:row r="44">
      <x:c r="A44" s="10" t="str">
        <x:v>OP-PUB-043</x:v>
      </x:c>
      <x:c r="B44" s="8" t="str">
        <x:v>回归自然的朴素之家</x:v>
      </x:c>
      <x:c r="C44" s="8" t="str">
        <x:v>官网公开案例+AI补全</x:v>
      </x:c>
      <x:c r="D44" s="9" t="b">
        <x:v>1</x:v>
      </x:c>
      <x:c r="E44" s="8" t="str">
        <x:v>https://www.oppein.cn/homematch/164</x:v>
      </x:c>
      <x:c r="F44" s="8" t="str">
        <x:v>https://oppein-shop.obs.cn-south-1.myhuaweicloud.com/fend/productimage/2014092614490201132800551055.jpg</x:v>
      </x:c>
      <x:c r="G44" s="8" t="str">
        <x:v>案例标题;案例URL;主图URL</x:v>
      </x:c>
      <x:c r="H44" s="8" t="str">
        <x:v>城市;家庭结构;总预算;标准风格映射;配色;材质;收纳;灯光;成交标签;修改次数;满意度;交期;风险</x:v>
      </x:c>
      <x:c r="I44" s="8" t="str">
        <x:v>华南</x:v>
      </x:c>
      <x:c r="J44" s="8" t="str">
        <x:v>广州</x:v>
      </x:c>
      <x:c r="K44" s="8" t="str">
        <x:v>三房两厅</x:v>
      </x:c>
      <x:c r="L44" s="8" t="str">
        <x:v>AI模拟</x:v>
      </x:c>
      <x:c r="M44" s="11" t="n">
        <x:v>105</x:v>
      </x:c>
      <x:c r="N44" s="8" t="str">
        <x:v>AI模拟</x:v>
      </x:c>
      <x:c r="O44" s="8" t="str">
        <x:v>现代原木</x:v>
      </x:c>
      <x:c r="P44" s="8" t="str">
        <x:v>官网标题＋AI归一化</x:v>
      </x:c>
      <x:c r="Q44" s="8" t="str">
        <x:v>自然北欧</x:v>
      </x:c>
      <x:c r="R44" s="8" t="str">
        <x:v>温暖松弛</x:v>
      </x:c>
      <x:c r="S44" s="12" t="n">
        <x:v>199000</x:v>
      </x:c>
      <x:c r="T44" s="12" t="n">
        <x:v>243000</x:v>
      </x:c>
      <x:c r="U44" s="12" t="n">
        <x:v>221000</x:v>
      </x:c>
      <x:c r="V44" s="8" t="str">
        <x:v>三代同堂</x:v>
      </x:c>
      <x:c r="W44" s="8" t="str">
        <x:v>适老;夜间照明;低位收纳</x:v>
      </x:c>
      <x:c r="X44" s="8" t="str">
        <x:v>米白;浅橡木;暖灰</x:v>
      </x:c>
      <x:c r="Y44" s="8" t="str">
        <x:v>木纹板;哑光板;织物</x:v>
      </x:c>
      <x:c r="Z44" s="13" t="n">
        <x:v>0.78</x:v>
      </x:c>
      <x:c r="AA44" s="8" t="str">
        <x:v>暖光无主灯</x:v>
      </x:c>
      <x:c r="AB44" s="8" t="str">
        <x:v>AI模拟已成交标签</x:v>
      </x:c>
      <x:c r="AC44" s="8" t="str">
        <x:v>无</x:v>
      </x:c>
      <x:c r="AD44" s="8" t="n">
        <x:v>3</x:v>
      </x:c>
      <x:c r="AE44" s="14" t="n">
        <x:v>4</x:v>
      </x:c>
      <x:c r="AF44" s="8" t="n">
        <x:v>52</x:v>
      </x:c>
      <x:c r="AG44" s="8" t="str">
        <x:v>图片与落地材质需复核</x:v>
      </x:c>
      <x:c r="AH44" s="8" t="str">
        <x:v>仅限内部研究/原页面访问</x:v>
      </x:c>
      <x:c r="AI44" s="8" t="str">
        <x:v>否（未获训练授权）</x:v>
      </x:c>
      <x:c r="AJ44" s="9" t="b">
        <x:v>1</x:v>
      </x:c>
      <x:c r="AK44" s="8" t="str">
        <x:v>官网公开主图URL（不嵌入、不再分发）</x:v>
      </x:c>
      <x:c r="AL44" s="15" t="n">
        <x:v>46220</x:v>
      </x:c>
      <x:c r="AM44" s="8" t="n">
        <x:f>COUNTIF($A$2:$A$61,A44)</x:f>
        <x:v>1</x:v>
      </x:c>
      <x:c r="AN44" s="8" t="str">
        <x:f>IF(AND(AM44=1,M44&gt;=30,M44&lt;=220,S44&lt;=U44,U44&lt;=T44,AJ44=TRUE,AC44="无"),"PASS","CHECK")</x:f>
        <x:v>PASS</x:v>
      </x:c>
    </x:row>
    <x:row r="45">
      <x:c r="A45" s="10" t="str">
        <x:v>OP-PUB-044</x:v>
      </x:c>
      <x:c r="B45" s="8" t="str">
        <x:v>81㎡别致温馨小二居</x:v>
      </x:c>
      <x:c r="C45" s="8" t="str">
        <x:v>官网公开案例+AI补全</x:v>
      </x:c>
      <x:c r="D45" s="9" t="b">
        <x:v>1</x:v>
      </x:c>
      <x:c r="E45" s="8" t="str">
        <x:v>https://www.oppein.cn/homematch/91</x:v>
      </x:c>
      <x:c r="F45" s="8" t="str">
        <x:v>https://oppein-shop.obs.cn-south-1.myhuaweicloud.com/fend/productimage/2014082511462865913300791649.jpg</x:v>
      </x:c>
      <x:c r="G45" s="8" t="str">
        <x:v>案例标题;案例URL;主图URL;面积(标题显式);户型(标题显式)</x:v>
      </x:c>
      <x:c r="H45" s="8" t="str">
        <x:v>城市;家庭结构;总预算;标准风格映射;配色;材质;收纳;灯光;成交标签;修改次数;满意度;交期;风险</x:v>
      </x:c>
      <x:c r="I45" s="8" t="str">
        <x:v>华南</x:v>
      </x:c>
      <x:c r="J45" s="8" t="str">
        <x:v>深圳</x:v>
      </x:c>
      <x:c r="K45" s="8" t="str">
        <x:v>两房两厅</x:v>
      </x:c>
      <x:c r="L45" s="8" t="str">
        <x:v>官网标题显式</x:v>
      </x:c>
      <x:c r="M45" s="11" t="n">
        <x:v>81</x:v>
      </x:c>
      <x:c r="N45" s="8" t="str">
        <x:v>官网标题显式</x:v>
      </x:c>
      <x:c r="O45" s="8" t="str">
        <x:v>奶油风</x:v>
      </x:c>
      <x:c r="P45" s="8" t="str">
        <x:v>官网标题＋AI归一化</x:v>
      </x:c>
      <x:c r="Q45" s="8" t="str">
        <x:v>柔和治愈</x:v>
      </x:c>
      <x:c r="R45" s="8" t="str">
        <x:v>温馨柔和</x:v>
      </x:c>
      <x:c r="S45" s="12" t="n">
        <x:v>163000</x:v>
      </x:c>
      <x:c r="T45" s="12" t="n">
        <x:v>199000</x:v>
      </x:c>
      <x:c r="U45" s="12" t="n">
        <x:v>181000</x:v>
      </x:c>
      <x:c r="V45" s="8" t="str">
        <x:v>夫妻+1名儿童</x:v>
      </x:c>
      <x:c r="W45" s="8" t="str">
        <x:v>儿童安全;成长收纳</x:v>
      </x:c>
      <x:c r="X45" s="8" t="str">
        <x:v>奶油白;浅咖;杏色</x:v>
      </x:c>
      <x:c r="Y45" s="8" t="str">
        <x:v>肤感板;柔光砖;织物</x:v>
      </x:c>
      <x:c r="Z45" s="13" t="n">
        <x:v>0.8200000000000001</x:v>
      </x:c>
      <x:c r="AA45" s="8" t="str">
        <x:v>暖光混合照明</x:v>
      </x:c>
      <x:c r="AB45" s="8" t="str">
        <x:v>AI模拟已成交标签</x:v>
      </x:c>
      <x:c r="AC45" s="8" t="str">
        <x:v>无</x:v>
      </x:c>
      <x:c r="AD45" s="8" t="n">
        <x:v>4</x:v>
      </x:c>
      <x:c r="AE45" s="14" t="n">
        <x:v>4.15</x:v>
      </x:c>
      <x:c r="AF45" s="8" t="n">
        <x:v>57</x:v>
      </x:c>
      <x:c r="AG45" s="8" t="str">
        <x:v>图片与落地材质需复核</x:v>
      </x:c>
      <x:c r="AH45" s="8" t="str">
        <x:v>仅限内部研究/原页面访问</x:v>
      </x:c>
      <x:c r="AI45" s="8" t="str">
        <x:v>否（未获训练授权）</x:v>
      </x:c>
      <x:c r="AJ45" s="9" t="b">
        <x:v>1</x:v>
      </x:c>
      <x:c r="AK45" s="8" t="str">
        <x:v>官网公开主图URL（不嵌入、不再分发）</x:v>
      </x:c>
      <x:c r="AL45" s="15" t="n">
        <x:v>46220</x:v>
      </x:c>
      <x:c r="AM45" s="8" t="n">
        <x:f>COUNTIF($A$2:$A$61,A45)</x:f>
        <x:v>1</x:v>
      </x:c>
      <x:c r="AN45" s="8" t="str">
        <x:f>IF(AND(AM45=1,M45&gt;=30,M45&lt;=220,S45&lt;=U45,U45&lt;=T45,AJ45=TRUE,AC45="无"),"PASS","CHECK")</x:f>
        <x:v>PASS</x:v>
      </x:c>
    </x:row>
    <x:row r="46">
      <x:c r="A46" s="10" t="str">
        <x:v>OP-PUB-045</x:v>
      </x:c>
      <x:c r="B46" s="8" t="str">
        <x:v>精致公寓 现代时尚完美结合</x:v>
      </x:c>
      <x:c r="C46" s="8" t="str">
        <x:v>官网公开案例+AI补全</x:v>
      </x:c>
      <x:c r="D46" s="9" t="b">
        <x:v>1</x:v>
      </x:c>
      <x:c r="E46" s="8" t="str">
        <x:v>https://www.oppein.cn/homematch/67</x:v>
      </x:c>
      <x:c r="F46" s="8" t="str">
        <x:v>https://oppein-shop.obs.cn-south-1.myhuaweicloud.com/fend/productimage/2017050910493718816100516734.jpg</x:v>
      </x:c>
      <x:c r="G46" s="8" t="str">
        <x:v>案例标题;案例URL;主图URL</x:v>
      </x:c>
      <x:c r="H46" s="8" t="str">
        <x:v>城市;家庭结构;总预算;标准风格映射;配色;材质;收纳;灯光;成交标签;修改次数;满意度;交期;风险</x:v>
      </x:c>
      <x:c r="I46" s="8" t="str">
        <x:v>华南</x:v>
      </x:c>
      <x:c r="J46" s="8" t="str">
        <x:v>佛山</x:v>
      </x:c>
      <x:c r="K46" s="8" t="str">
        <x:v>一房一厅</x:v>
      </x:c>
      <x:c r="L46" s="8" t="str">
        <x:v>AI模拟</x:v>
      </x:c>
      <x:c r="M46" s="11" t="n">
        <x:v>46</x:v>
      </x:c>
      <x:c r="N46" s="8" t="str">
        <x:v>AI模拟</x:v>
      </x:c>
      <x:c r="O46" s="8" t="str">
        <x:v>现代轻奢</x:v>
      </x:c>
      <x:c r="P46" s="8" t="str">
        <x:v>官网标题＋AI归一化</x:v>
      </x:c>
      <x:c r="Q46" s="8" t="str">
        <x:v>意式轻奢</x:v>
      </x:c>
      <x:c r="R46" s="8" t="str">
        <x:v>沉稳精致</x:v>
      </x:c>
      <x:c r="S46" s="12" t="n">
        <x:v>116000</x:v>
      </x:c>
      <x:c r="T46" s="12" t="n">
        <x:v>142000</x:v>
      </x:c>
      <x:c r="U46" s="12" t="n">
        <x:v>129000</x:v>
      </x:c>
      <x:c r="V46" s="8" t="str">
        <x:v>单身+宠物</x:v>
      </x:c>
      <x:c r="W46" s="8" t="str">
        <x:v>适宠;耐磨易清洁</x:v>
      </x:c>
      <x:c r="X46" s="8" t="str">
        <x:v>暖灰;香槟金;深木</x:v>
      </x:c>
      <x:c r="Y46" s="8" t="str">
        <x:v>岩板;金属;玻璃;肤感板</x:v>
      </x:c>
      <x:c r="Z46" s="13" t="n">
        <x:v>0.76</x:v>
      </x:c>
      <x:c r="AA46" s="8" t="str">
        <x:v>无主灯+重点照明</x:v>
      </x:c>
      <x:c r="AB46" s="8" t="str">
        <x:v>AI模拟已成交标签</x:v>
      </x:c>
      <x:c r="AC46" s="8" t="str">
        <x:v>无</x:v>
      </x:c>
      <x:c r="AD46" s="8" t="n">
        <x:v>1</x:v>
      </x:c>
      <x:c r="AE46" s="14" t="n">
        <x:v>4.3</x:v>
      </x:c>
      <x:c r="AF46" s="8" t="n">
        <x:v>62</x:v>
      </x:c>
      <x:c r="AG46" s="8" t="str">
        <x:v>预算接近上限;跨品类交期</x:v>
      </x:c>
      <x:c r="AH46" s="8" t="str">
        <x:v>仅限内部研究/原页面访问</x:v>
      </x:c>
      <x:c r="AI46" s="8" t="str">
        <x:v>否（未获训练授权）</x:v>
      </x:c>
      <x:c r="AJ46" s="9" t="b">
        <x:v>1</x:v>
      </x:c>
      <x:c r="AK46" s="8" t="str">
        <x:v>官网公开主图URL（不嵌入、不再分发）</x:v>
      </x:c>
      <x:c r="AL46" s="15" t="n">
        <x:v>46220</x:v>
      </x:c>
      <x:c r="AM46" s="8" t="n">
        <x:f>COUNTIF($A$2:$A$61,A46)</x:f>
        <x:v>1</x:v>
      </x:c>
      <x:c r="AN46" s="8" t="str">
        <x:f>IF(AND(AM46=1,M46&gt;=30,M46&lt;=220,S46&lt;=U46,U46&lt;=T46,AJ46=TRUE,AC46="无"),"PASS","CHECK")</x:f>
        <x:v>PASS</x:v>
      </x:c>
    </x:row>
    <x:row r="47">
      <x:c r="A47" s="10" t="str">
        <x:v>OP-AI-001</x:v>
      </x:c>
      <x:c r="B47" s="8" t="str">
        <x:v>奶咖晨光成长之家</x:v>
      </x:c>
      <x:c r="C47" s="8" t="str">
        <x:v>纯AI模拟</x:v>
      </x:c>
      <x:c r="D47" s="9" t="b">
        <x:v>0</x:v>
      </x:c>
      <x:c r="E47" s="8" t="str"/>
      <x:c r="F47" s="8" t="str"/>
      <x:c r="G47" s="8" t="str">
        <x:v>无</x:v>
      </x:c>
      <x:c r="H47" s="8" t="str">
        <x:v>全部字段（含名称、户型、面积、风格、预算、家庭、配色、材质、成交与交付）</x:v>
      </x:c>
      <x:c r="I47" s="8" t="str">
        <x:v>华南</x:v>
      </x:c>
      <x:c r="J47" s="8" t="str">
        <x:v>东莞</x:v>
      </x:c>
      <x:c r="K47" s="8" t="str">
        <x:v>三房两厅</x:v>
      </x:c>
      <x:c r="L47" s="8" t="str">
        <x:v>AI模拟</x:v>
      </x:c>
      <x:c r="M47" s="11" t="n">
        <x:v>102</x:v>
      </x:c>
      <x:c r="N47" s="8" t="str">
        <x:v>AI模拟</x:v>
      </x:c>
      <x:c r="O47" s="8" t="str">
        <x:v>奶油风</x:v>
      </x:c>
      <x:c r="P47" s="8" t="str">
        <x:v>AI模拟</x:v>
      </x:c>
      <x:c r="Q47" s="8" t="str">
        <x:v>柔和治愈</x:v>
      </x:c>
      <x:c r="R47" s="8" t="str">
        <x:v>温馨柔和</x:v>
      </x:c>
      <x:c r="S47" s="12" t="n">
        <x:v>190000</x:v>
      </x:c>
      <x:c r="T47" s="12" t="n">
        <x:v>232000</x:v>
      </x:c>
      <x:c r="U47" s="12" t="n">
        <x:v>211000</x:v>
      </x:c>
      <x:c r="V47" s="8" t="str">
        <x:v>夫妻+1名儿童</x:v>
      </x:c>
      <x:c r="W47" s="8" t="str">
        <x:v>儿童安全;成长收纳</x:v>
      </x:c>
      <x:c r="X47" s="8" t="str">
        <x:v>奶油白;浅咖;杏色</x:v>
      </x:c>
      <x:c r="Y47" s="8" t="str">
        <x:v>肤感板;柔光砖;织物</x:v>
      </x:c>
      <x:c r="Z47" s="13" t="n">
        <x:v>0.76</x:v>
      </x:c>
      <x:c r="AA47" s="8" t="str">
        <x:v>暖光混合照明</x:v>
      </x:c>
      <x:c r="AB47" s="8" t="str">
        <x:v>AI模拟已成交标签</x:v>
      </x:c>
      <x:c r="AC47" s="8" t="str">
        <x:v>无</x:v>
      </x:c>
      <x:c r="AD47" s="8" t="n">
        <x:v>1</x:v>
      </x:c>
      <x:c r="AE47" s="14" t="n">
        <x:v>4.1</x:v>
      </x:c>
      <x:c r="AF47" s="8" t="n">
        <x:v>55</x:v>
      </x:c>
      <x:c r="AG47" s="8" t="str">
        <x:v>AI效果图待生成;预算需线下核价</x:v>
      </x:c>
      <x:c r="AH47" s="8" t="str">
        <x:v>内部MVP演示</x:v>
      </x:c>
      <x:c r="AI47" s="8" t="str">
        <x:v>可用于MVP规则测试；不可当作真实案例</x:v>
      </x:c>
      <x:c r="AJ47" s="9" t="b">
        <x:v>1</x:v>
      </x:c>
      <x:c r="AK47" s="8" t="str">
        <x:v>待AI生成/待授权素材</x:v>
      </x:c>
      <x:c r="AL47" s="15" t="n">
        <x:v>46220</x:v>
      </x:c>
      <x:c r="AM47" s="8" t="n">
        <x:f>COUNTIF($A$2:$A$61,A47)</x:f>
        <x:v>1</x:v>
      </x:c>
      <x:c r="AN47" s="8" t="str">
        <x:f>IF(AND(AM47=1,M47&gt;=30,M47&lt;=220,S47&lt;=U47,U47&lt;=T47,AJ47=TRUE,AC47="无"),"PASS","CHECK")</x:f>
        <x:v>PASS</x:v>
      </x:c>
    </x:row>
    <x:row r="48">
      <x:c r="A48" s="10" t="str">
        <x:v>OP-AI-002</x:v>
      </x:c>
      <x:c r="B48" s="8" t="str">
        <x:v>浅橡木亲子收纳宅</x:v>
      </x:c>
      <x:c r="C48" s="8" t="str">
        <x:v>纯AI模拟</x:v>
      </x:c>
      <x:c r="D48" s="9" t="b">
        <x:v>0</x:v>
      </x:c>
      <x:c r="E48" s="8" t="str"/>
      <x:c r="F48" s="8" t="str"/>
      <x:c r="G48" s="8" t="str">
        <x:v>无</x:v>
      </x:c>
      <x:c r="H48" s="8" t="str">
        <x:v>全部字段（含名称、户型、面积、风格、预算、家庭、配色、材质、成交与交付）</x:v>
      </x:c>
      <x:c r="I48" s="8" t="str">
        <x:v>华南</x:v>
      </x:c>
      <x:c r="J48" s="8" t="str">
        <x:v>珠海</x:v>
      </x:c>
      <x:c r="K48" s="8" t="str">
        <x:v>三房两厅</x:v>
      </x:c>
      <x:c r="L48" s="8" t="str">
        <x:v>AI模拟</x:v>
      </x:c>
      <x:c r="M48" s="11" t="n">
        <x:v>96</x:v>
      </x:c>
      <x:c r="N48" s="8" t="str">
        <x:v>AI模拟</x:v>
      </x:c>
      <x:c r="O48" s="8" t="str">
        <x:v>现代原木</x:v>
      </x:c>
      <x:c r="P48" s="8" t="str">
        <x:v>AI模拟</x:v>
      </x:c>
      <x:c r="Q48" s="8" t="str">
        <x:v>自然北欧</x:v>
      </x:c>
      <x:c r="R48" s="8" t="str">
        <x:v>温暖松弛</x:v>
      </x:c>
      <x:c r="S48" s="12" t="n">
        <x:v>184000</x:v>
      </x:c>
      <x:c r="T48" s="12" t="n">
        <x:v>224000</x:v>
      </x:c>
      <x:c r="U48" s="12" t="n">
        <x:v>204000</x:v>
      </x:c>
      <x:c r="V48" s="8" t="str">
        <x:v>夫妻+1名儿童</x:v>
      </x:c>
      <x:c r="W48" s="8" t="str">
        <x:v>儿童安全;成长收纳</x:v>
      </x:c>
      <x:c r="X48" s="8" t="str">
        <x:v>米白;浅橡木;暖灰</x:v>
      </x:c>
      <x:c r="Y48" s="8" t="str">
        <x:v>木纹板;哑光板;织物</x:v>
      </x:c>
      <x:c r="Z48" s="13" t="n">
        <x:v>0.76</x:v>
      </x:c>
      <x:c r="AA48" s="8" t="str">
        <x:v>暖光无主灯</x:v>
      </x:c>
      <x:c r="AB48" s="8" t="str">
        <x:v>AI模拟已成交标签</x:v>
      </x:c>
      <x:c r="AC48" s="8" t="str">
        <x:v>无</x:v>
      </x:c>
      <x:c r="AD48" s="8" t="n">
        <x:v>2</x:v>
      </x:c>
      <x:c r="AE48" s="14" t="n">
        <x:v>4.25</x:v>
      </x:c>
      <x:c r="AF48" s="8" t="n">
        <x:v>60</x:v>
      </x:c>
      <x:c r="AG48" s="8" t="str">
        <x:v>全部业务字段待真实数据替换</x:v>
      </x:c>
      <x:c r="AH48" s="8" t="str">
        <x:v>内部MVP演示</x:v>
      </x:c>
      <x:c r="AI48" s="8" t="str">
        <x:v>可用于MVP规则测试；不可当作真实案例</x:v>
      </x:c>
      <x:c r="AJ48" s="9" t="b">
        <x:v>1</x:v>
      </x:c>
      <x:c r="AK48" s="8" t="str">
        <x:v>待AI生成/待授权素材</x:v>
      </x:c>
      <x:c r="AL48" s="15" t="n">
        <x:v>46220</x:v>
      </x:c>
      <x:c r="AM48" s="8" t="n">
        <x:f>COUNTIF($A$2:$A$61,A48)</x:f>
        <x:v>1</x:v>
      </x:c>
      <x:c r="AN48" s="8" t="str">
        <x:f>IF(AND(AM48=1,M48&gt;=30,M48&lt;=220,S48&lt;=U48,U48&lt;=T48,AJ48=TRUE,AC48="无"),"PASS","CHECK")</x:f>
        <x:v>PASS</x:v>
      </x:c>
    </x:row>
    <x:row r="49">
      <x:c r="A49" s="10" t="str">
        <x:v>OP-AI-003</x:v>
      </x:c>
      <x:c r="B49" s="8" t="str">
        <x:v>岭南三代同堂雅居</x:v>
      </x:c>
      <x:c r="C49" s="8" t="str">
        <x:v>纯AI模拟</x:v>
      </x:c>
      <x:c r="D49" s="9" t="b">
        <x:v>0</x:v>
      </x:c>
      <x:c r="E49" s="8" t="str"/>
      <x:c r="F49" s="8" t="str"/>
      <x:c r="G49" s="8" t="str">
        <x:v>无</x:v>
      </x:c>
      <x:c r="H49" s="8" t="str">
        <x:v>全部字段（含名称、户型、面积、风格、预算、家庭、配色、材质、成交与交付）</x:v>
      </x:c>
      <x:c r="I49" s="8" t="str">
        <x:v>华南</x:v>
      </x:c>
      <x:c r="J49" s="8" t="str">
        <x:v>惠州</x:v>
      </x:c>
      <x:c r="K49" s="8" t="str">
        <x:v>四房两厅</x:v>
      </x:c>
      <x:c r="L49" s="8" t="str">
        <x:v>AI模拟</x:v>
      </x:c>
      <x:c r="M49" s="11" t="n">
        <x:v>148</x:v>
      </x:c>
      <x:c r="N49" s="8" t="str">
        <x:v>AI模拟</x:v>
      </x:c>
      <x:c r="O49" s="8" t="str">
        <x:v>新中式</x:v>
      </x:c>
      <x:c r="P49" s="8" t="str">
        <x:v>AI模拟</x:v>
      </x:c>
      <x:c r="Q49" s="8" t="str">
        <x:v>东方雅致</x:v>
      </x:c>
      <x:c r="R49" s="8" t="str">
        <x:v>安静雅致</x:v>
      </x:c>
      <x:c r="S49" s="12" t="n">
        <x:v>314000</x:v>
      </x:c>
      <x:c r="T49" s="12" t="n">
        <x:v>384000</x:v>
      </x:c>
      <x:c r="U49" s="12" t="n">
        <x:v>349000</x:v>
      </x:c>
      <x:c r="V49" s="8" t="str">
        <x:v>三代同堂</x:v>
      </x:c>
      <x:c r="W49" s="8" t="str">
        <x:v>适老;夜间照明;低位收纳</x:v>
      </x:c>
      <x:c r="X49" s="8" t="str">
        <x:v>米白;胡桃木;黛灰</x:v>
      </x:c>
      <x:c r="Y49" s="8" t="str">
        <x:v>木纹板;格栅;岩板;黄铜</x:v>
      </x:c>
      <x:c r="Z49" s="13" t="n">
        <x:v>0.76</x:v>
      </x:c>
      <x:c r="AA49" s="8" t="str">
        <x:v>暖光混合照明</x:v>
      </x:c>
      <x:c r="AB49" s="8" t="str">
        <x:v>AI模拟已成交标签</x:v>
      </x:c>
      <x:c r="AC49" s="8" t="str">
        <x:v>无</x:v>
      </x:c>
      <x:c r="AD49" s="8" t="n">
        <x:v>3</x:v>
      </x:c>
      <x:c r="AE49" s="14" t="n">
        <x:v>4.3999999999999995</x:v>
      </x:c>
      <x:c r="AF49" s="8" t="n">
        <x:v>65</x:v>
      </x:c>
      <x:c r="AG49" s="8" t="str">
        <x:v>全部业务字段待真实数据替换</x:v>
      </x:c>
      <x:c r="AH49" s="8" t="str">
        <x:v>内部MVP演示</x:v>
      </x:c>
      <x:c r="AI49" s="8" t="str">
        <x:v>可用于MVP规则测试；不可当作真实案例</x:v>
      </x:c>
      <x:c r="AJ49" s="9" t="b">
        <x:v>1</x:v>
      </x:c>
      <x:c r="AK49" s="8" t="str">
        <x:v>待AI生成/待授权素材</x:v>
      </x:c>
      <x:c r="AL49" s="15" t="n">
        <x:v>46220</x:v>
      </x:c>
      <x:c r="AM49" s="8" t="n">
        <x:f>COUNTIF($A$2:$A$61,A49)</x:f>
        <x:v>1</x:v>
      </x:c>
      <x:c r="AN49" s="8" t="str">
        <x:f>IF(AND(AM49=1,M49&gt;=30,M49&lt;=220,S49&lt;=U49,U49&lt;=T49,AJ49=TRUE,AC49="无"),"PASS","CHECK")</x:f>
        <x:v>PASS</x:v>
      </x:c>
    </x:row>
    <x:row r="50">
      <x:c r="A50" s="10" t="str">
        <x:v>OP-AI-004</x:v>
      </x:c>
      <x:c r="B50" s="8" t="str">
        <x:v>无界客餐厅轻奢宅</x:v>
      </x:c>
      <x:c r="C50" s="8" t="str">
        <x:v>纯AI模拟</x:v>
      </x:c>
      <x:c r="D50" s="9" t="b">
        <x:v>0</x:v>
      </x:c>
      <x:c r="E50" s="8" t="str"/>
      <x:c r="F50" s="8" t="str"/>
      <x:c r="G50" s="8" t="str">
        <x:v>无</x:v>
      </x:c>
      <x:c r="H50" s="8" t="str">
        <x:v>全部字段（含名称、户型、面积、风格、预算、家庭、配色、材质、成交与交付）</x:v>
      </x:c>
      <x:c r="I50" s="8" t="str">
        <x:v>华南</x:v>
      </x:c>
      <x:c r="J50" s="8" t="str">
        <x:v>广州</x:v>
      </x:c>
      <x:c r="K50" s="8" t="str">
        <x:v>四房两厅</x:v>
      </x:c>
      <x:c r="L50" s="8" t="str">
        <x:v>AI模拟</x:v>
      </x:c>
      <x:c r="M50" s="11" t="n">
        <x:v>136</x:v>
      </x:c>
      <x:c r="N50" s="8" t="str">
        <x:v>AI模拟</x:v>
      </x:c>
      <x:c r="O50" s="8" t="str">
        <x:v>现代轻奢</x:v>
      </x:c>
      <x:c r="P50" s="8" t="str">
        <x:v>AI模拟</x:v>
      </x:c>
      <x:c r="Q50" s="8" t="str">
        <x:v>意式轻奢</x:v>
      </x:c>
      <x:c r="R50" s="8" t="str">
        <x:v>沉稳精致</x:v>
      </x:c>
      <x:c r="S50" s="12" t="n">
        <x:v>305000</x:v>
      </x:c>
      <x:c r="T50" s="12" t="n">
        <x:v>373000</x:v>
      </x:c>
      <x:c r="U50" s="12" t="n">
        <x:v>339000</x:v>
      </x:c>
      <x:c r="V50" s="8" t="str">
        <x:v>夫妻+2名儿童</x:v>
      </x:c>
      <x:c r="W50" s="8" t="str">
        <x:v>儿童安全;成长收纳</x:v>
      </x:c>
      <x:c r="X50" s="8" t="str">
        <x:v>暖灰;香槟金;深木</x:v>
      </x:c>
      <x:c r="Y50" s="8" t="str">
        <x:v>岩板;金属;玻璃;肤感板</x:v>
      </x:c>
      <x:c r="Z50" s="13" t="n">
        <x:v>0.74</x:v>
      </x:c>
      <x:c r="AA50" s="8" t="str">
        <x:v>无主灯+重点照明</x:v>
      </x:c>
      <x:c r="AB50" s="8" t="str">
        <x:v>AI模拟已成交标签</x:v>
      </x:c>
      <x:c r="AC50" s="8" t="str">
        <x:v>无</x:v>
      </x:c>
      <x:c r="AD50" s="8" t="n">
        <x:v>4</x:v>
      </x:c>
      <x:c r="AE50" s="14" t="n">
        <x:v>4.55</x:v>
      </x:c>
      <x:c r="AF50" s="8" t="n">
        <x:v>70</x:v>
      </x:c>
      <x:c r="AG50" s="8" t="str">
        <x:v>AI效果图待生成;预算需线下核价</x:v>
      </x:c>
      <x:c r="AH50" s="8" t="str">
        <x:v>内部MVP演示</x:v>
      </x:c>
      <x:c r="AI50" s="8" t="str">
        <x:v>可用于MVP规则测试；不可当作真实案例</x:v>
      </x:c>
      <x:c r="AJ50" s="9" t="b">
        <x:v>1</x:v>
      </x:c>
      <x:c r="AK50" s="8" t="str">
        <x:v>待AI生成/待授权素材</x:v>
      </x:c>
      <x:c r="AL50" s="15" t="n">
        <x:v>46220</x:v>
      </x:c>
      <x:c r="AM50" s="8" t="n">
        <x:f>COUNTIF($A$2:$A$61,A50)</x:f>
        <x:v>1</x:v>
      </x:c>
      <x:c r="AN50" s="8" t="str">
        <x:f>IF(AND(AM50=1,M50&gt;=30,M50&lt;=220,S50&lt;=U50,U50&lt;=T50,AJ50=TRUE,AC50="无"),"PASS","CHECK")</x:f>
        <x:v>PASS</x:v>
      </x:c>
    </x:row>
    <x:row r="51">
      <x:c r="A51" s="10" t="str">
        <x:v>OP-AI-005</x:v>
      </x:c>
      <x:c r="B51" s="8" t="str">
        <x:v>双宠友好原木小家</x:v>
      </x:c>
      <x:c r="C51" s="8" t="str">
        <x:v>纯AI模拟</x:v>
      </x:c>
      <x:c r="D51" s="9" t="b">
        <x:v>0</x:v>
      </x:c>
      <x:c r="E51" s="8" t="str"/>
      <x:c r="F51" s="8" t="str"/>
      <x:c r="G51" s="8" t="str">
        <x:v>无</x:v>
      </x:c>
      <x:c r="H51" s="8" t="str">
        <x:v>全部字段（含名称、户型、面积、风格、预算、家庭、配色、材质、成交与交付）</x:v>
      </x:c>
      <x:c r="I51" s="8" t="str">
        <x:v>华南</x:v>
      </x:c>
      <x:c r="J51" s="8" t="str">
        <x:v>深圳</x:v>
      </x:c>
      <x:c r="K51" s="8" t="str">
        <x:v>两房两厅</x:v>
      </x:c>
      <x:c r="L51" s="8" t="str">
        <x:v>AI模拟</x:v>
      </x:c>
      <x:c r="M51" s="11" t="n">
        <x:v>82</x:v>
      </x:c>
      <x:c r="N51" s="8" t="str">
        <x:v>AI模拟</x:v>
      </x:c>
      <x:c r="O51" s="8" t="str">
        <x:v>现代原木</x:v>
      </x:c>
      <x:c r="P51" s="8" t="str">
        <x:v>AI模拟</x:v>
      </x:c>
      <x:c r="Q51" s="8" t="str">
        <x:v>自然北欧</x:v>
      </x:c>
      <x:c r="R51" s="8" t="str">
        <x:v>温暖松弛</x:v>
      </x:c>
      <x:c r="S51" s="12" t="n">
        <x:v>151000</x:v>
      </x:c>
      <x:c r="T51" s="12" t="n">
        <x:v>185000</x:v>
      </x:c>
      <x:c r="U51" s="12" t="n">
        <x:v>168000</x:v>
      </x:c>
      <x:c r="V51" s="8" t="str">
        <x:v>夫妻+宠物</x:v>
      </x:c>
      <x:c r="W51" s="8" t="str">
        <x:v>适宠;耐磨易清洁</x:v>
      </x:c>
      <x:c r="X51" s="8" t="str">
        <x:v>米白;浅橡木;暖灰</x:v>
      </x:c>
      <x:c r="Y51" s="8" t="str">
        <x:v>木纹板;哑光板;织物</x:v>
      </x:c>
      <x:c r="Z51" s="13" t="n">
        <x:v>0.8200000000000001</x:v>
      </x:c>
      <x:c r="AA51" s="8" t="str">
        <x:v>暖光无主灯</x:v>
      </x:c>
      <x:c r="AB51" s="8" t="str">
        <x:v>AI模拟已成交标签</x:v>
      </x:c>
      <x:c r="AC51" s="8" t="str">
        <x:v>无</x:v>
      </x:c>
      <x:c r="AD51" s="8" t="n">
        <x:v>1</x:v>
      </x:c>
      <x:c r="AE51" s="14" t="n">
        <x:v>4.699999999999999</x:v>
      </x:c>
      <x:c r="AF51" s="8" t="n">
        <x:v>75</x:v>
      </x:c>
      <x:c r="AG51" s="8" t="str">
        <x:v>全部业务字段待真实数据替换</x:v>
      </x:c>
      <x:c r="AH51" s="8" t="str">
        <x:v>内部MVP演示</x:v>
      </x:c>
      <x:c r="AI51" s="8" t="str">
        <x:v>可用于MVP规则测试；不可当作真实案例</x:v>
      </x:c>
      <x:c r="AJ51" s="9" t="b">
        <x:v>1</x:v>
      </x:c>
      <x:c r="AK51" s="8" t="str">
        <x:v>待AI生成/待授权素材</x:v>
      </x:c>
      <x:c r="AL51" s="15" t="n">
        <x:v>46220</x:v>
      </x:c>
      <x:c r="AM51" s="8" t="n">
        <x:f>COUNTIF($A$2:$A$61,A51)</x:f>
        <x:v>1</x:v>
      </x:c>
      <x:c r="AN51" s="8" t="str">
        <x:f>IF(AND(AM51=1,M51&gt;=30,M51&lt;=220,S51&lt;=U51,U51&lt;=T51,AJ51=TRUE,AC51="无"),"PASS","CHECK")</x:f>
        <x:v>PASS</x:v>
      </x:c>
    </x:row>
    <x:row r="52">
      <x:c r="A52" s="10" t="str">
        <x:v>OP-AI-006</x:v>
      </x:c>
      <x:c r="B52" s="8" t="str">
        <x:v>银发友好暖木居</x:v>
      </x:c>
      <x:c r="C52" s="8" t="str">
        <x:v>纯AI模拟</x:v>
      </x:c>
      <x:c r="D52" s="9" t="b">
        <x:v>0</x:v>
      </x:c>
      <x:c r="E52" s="8" t="str"/>
      <x:c r="F52" s="8" t="str"/>
      <x:c r="G52" s="8" t="str">
        <x:v>无</x:v>
      </x:c>
      <x:c r="H52" s="8" t="str">
        <x:v>全部字段（含名称、户型、面积、风格、预算、家庭、配色、材质、成交与交付）</x:v>
      </x:c>
      <x:c r="I52" s="8" t="str">
        <x:v>华南</x:v>
      </x:c>
      <x:c r="J52" s="8" t="str">
        <x:v>佛山</x:v>
      </x:c>
      <x:c r="K52" s="8" t="str">
        <x:v>三房两厅</x:v>
      </x:c>
      <x:c r="L52" s="8" t="str">
        <x:v>AI模拟</x:v>
      </x:c>
      <x:c r="M52" s="11" t="n">
        <x:v>118</x:v>
      </x:c>
      <x:c r="N52" s="8" t="str">
        <x:v>AI模拟</x:v>
      </x:c>
      <x:c r="O52" s="8" t="str">
        <x:v>现代原木</x:v>
      </x:c>
      <x:c r="P52" s="8" t="str">
        <x:v>AI模拟</x:v>
      </x:c>
      <x:c r="Q52" s="8" t="str">
        <x:v>自然北欧</x:v>
      </x:c>
      <x:c r="R52" s="8" t="str">
        <x:v>温暖松弛</x:v>
      </x:c>
      <x:c r="S52" s="12" t="n">
        <x:v>224000</x:v>
      </x:c>
      <x:c r="T52" s="12" t="n">
        <x:v>274000</x:v>
      </x:c>
      <x:c r="U52" s="12" t="n">
        <x:v>249000</x:v>
      </x:c>
      <x:c r="V52" s="8" t="str">
        <x:v>夫妻+老人</x:v>
      </x:c>
      <x:c r="W52" s="8" t="str">
        <x:v>适老;夜间照明;低位收纳</x:v>
      </x:c>
      <x:c r="X52" s="8" t="str">
        <x:v>米白;浅橡木;暖灰</x:v>
      </x:c>
      <x:c r="Y52" s="8" t="str">
        <x:v>木纹板;哑光板;织物</x:v>
      </x:c>
      <x:c r="Z52" s="13" t="n">
        <x:v>0.74</x:v>
      </x:c>
      <x:c r="AA52" s="8" t="str">
        <x:v>暖光无主灯</x:v>
      </x:c>
      <x:c r="AB52" s="8" t="str">
        <x:v>AI模拟已成交标签</x:v>
      </x:c>
      <x:c r="AC52" s="8" t="str">
        <x:v>无</x:v>
      </x:c>
      <x:c r="AD52" s="8" t="n">
        <x:v>2</x:v>
      </x:c>
      <x:c r="AE52" s="14" t="n">
        <x:v>4.1</x:v>
      </x:c>
      <x:c r="AF52" s="8" t="n">
        <x:v>80</x:v>
      </x:c>
      <x:c r="AG52" s="8" t="str">
        <x:v>全部业务字段待真实数据替换</x:v>
      </x:c>
      <x:c r="AH52" s="8" t="str">
        <x:v>内部MVP演示</x:v>
      </x:c>
      <x:c r="AI52" s="8" t="str">
        <x:v>可用于MVP规则测试；不可当作真实案例</x:v>
      </x:c>
      <x:c r="AJ52" s="9" t="b">
        <x:v>1</x:v>
      </x:c>
      <x:c r="AK52" s="8" t="str">
        <x:v>待AI生成/待授权素材</x:v>
      </x:c>
      <x:c r="AL52" s="15" t="n">
        <x:v>46220</x:v>
      </x:c>
      <x:c r="AM52" s="8" t="n">
        <x:f>COUNTIF($A$2:$A$61,A52)</x:f>
        <x:v>1</x:v>
      </x:c>
      <x:c r="AN52" s="8" t="str">
        <x:f>IF(AND(AM52=1,M52&gt;=30,M52&lt;=220,S52&lt;=U52,U52&lt;=T52,AJ52=TRUE,AC52="无"),"PASS","CHECK")</x:f>
        <x:v>PASS</x:v>
      </x:c>
    </x:row>
    <x:row r="53">
      <x:c r="A53" s="10" t="str">
        <x:v>OP-AI-007</x:v>
      </x:c>
      <x:c r="B53" s="8" t="str">
        <x:v>云朵奶油婚房</x:v>
      </x:c>
      <x:c r="C53" s="8" t="str">
        <x:v>纯AI模拟</x:v>
      </x:c>
      <x:c r="D53" s="9" t="b">
        <x:v>0</x:v>
      </x:c>
      <x:c r="E53" s="8" t="str"/>
      <x:c r="F53" s="8" t="str"/>
      <x:c r="G53" s="8" t="str">
        <x:v>无</x:v>
      </x:c>
      <x:c r="H53" s="8" t="str">
        <x:v>全部字段（含名称、户型、面积、风格、预算、家庭、配色、材质、成交与交付）</x:v>
      </x:c>
      <x:c r="I53" s="8" t="str">
        <x:v>华南</x:v>
      </x:c>
      <x:c r="J53" s="8" t="str">
        <x:v>东莞</x:v>
      </x:c>
      <x:c r="K53" s="8" t="str">
        <x:v>两房两厅</x:v>
      </x:c>
      <x:c r="L53" s="8" t="str">
        <x:v>AI模拟</x:v>
      </x:c>
      <x:c r="M53" s="11" t="n">
        <x:v>88</x:v>
      </x:c>
      <x:c r="N53" s="8" t="str">
        <x:v>AI模拟</x:v>
      </x:c>
      <x:c r="O53" s="8" t="str">
        <x:v>奶油风</x:v>
      </x:c>
      <x:c r="P53" s="8" t="str">
        <x:v>AI模拟</x:v>
      </x:c>
      <x:c r="Q53" s="8" t="str">
        <x:v>柔和治愈</x:v>
      </x:c>
      <x:c r="R53" s="8" t="str">
        <x:v>温馨柔和</x:v>
      </x:c>
      <x:c r="S53" s="12" t="n">
        <x:v>176000</x:v>
      </x:c>
      <x:c r="T53" s="12" t="n">
        <x:v>216000</x:v>
      </x:c>
      <x:c r="U53" s="12" t="n">
        <x:v>196000</x:v>
      </x:c>
      <x:c r="V53" s="8" t="str">
        <x:v>新婚夫妻</x:v>
      </x:c>
      <x:c r="W53" s="8" t="str">
        <x:v>强收纳;易清洁</x:v>
      </x:c>
      <x:c r="X53" s="8" t="str">
        <x:v>奶油白;浅咖;杏色</x:v>
      </x:c>
      <x:c r="Y53" s="8" t="str">
        <x:v>肤感板;柔光砖;织物</x:v>
      </x:c>
      <x:c r="Z53" s="13" t="n">
        <x:v>0.78</x:v>
      </x:c>
      <x:c r="AA53" s="8" t="str">
        <x:v>暖光混合照明</x:v>
      </x:c>
      <x:c r="AB53" s="8" t="str">
        <x:v>AI模拟已成交标签</x:v>
      </x:c>
      <x:c r="AC53" s="8" t="str">
        <x:v>无</x:v>
      </x:c>
      <x:c r="AD53" s="8" t="n">
        <x:v>3</x:v>
      </x:c>
      <x:c r="AE53" s="14" t="n">
        <x:v>4.25</x:v>
      </x:c>
      <x:c r="AF53" s="8" t="n">
        <x:v>55</x:v>
      </x:c>
      <x:c r="AG53" s="8" t="str">
        <x:v>AI效果图待生成;预算需线下核价</x:v>
      </x:c>
      <x:c r="AH53" s="8" t="str">
        <x:v>内部MVP演示</x:v>
      </x:c>
      <x:c r="AI53" s="8" t="str">
        <x:v>可用于MVP规则测试；不可当作真实案例</x:v>
      </x:c>
      <x:c r="AJ53" s="9" t="b">
        <x:v>1</x:v>
      </x:c>
      <x:c r="AK53" s="8" t="str">
        <x:v>待AI生成/待授权素材</x:v>
      </x:c>
      <x:c r="AL53" s="15" t="n">
        <x:v>46220</x:v>
      </x:c>
      <x:c r="AM53" s="8" t="n">
        <x:f>COUNTIF($A$2:$A$61,A53)</x:f>
        <x:v>1</x:v>
      </x:c>
      <x:c r="AN53" s="8" t="str">
        <x:f>IF(AND(AM53=1,M53&gt;=30,M53&lt;=220,S53&lt;=U53,U53&lt;=T53,AJ53=TRUE,AC53="无"),"PASS","CHECK")</x:f>
        <x:v>PASS</x:v>
      </x:c>
    </x:row>
    <x:row r="54">
      <x:c r="A54" s="10" t="str">
        <x:v>OP-AI-008</x:v>
      </x:c>
      <x:c r="B54" s="8" t="str">
        <x:v>静奢门墙柜一体宅</x:v>
      </x:c>
      <x:c r="C54" s="8" t="str">
        <x:v>纯AI模拟</x:v>
      </x:c>
      <x:c r="D54" s="9" t="b">
        <x:v>0</x:v>
      </x:c>
      <x:c r="E54" s="8" t="str"/>
      <x:c r="F54" s="8" t="str"/>
      <x:c r="G54" s="8" t="str">
        <x:v>无</x:v>
      </x:c>
      <x:c r="H54" s="8" t="str">
        <x:v>全部字段（含名称、户型、面积、风格、预算、家庭、配色、材质、成交与交付）</x:v>
      </x:c>
      <x:c r="I54" s="8" t="str">
        <x:v>华南</x:v>
      </x:c>
      <x:c r="J54" s="8" t="str">
        <x:v>珠海</x:v>
      </x:c>
      <x:c r="K54" s="8" t="str">
        <x:v>四房两厅</x:v>
      </x:c>
      <x:c r="L54" s="8" t="str">
        <x:v>AI模拟</x:v>
      </x:c>
      <x:c r="M54" s="11" t="n">
        <x:v>155</x:v>
      </x:c>
      <x:c r="N54" s="8" t="str">
        <x:v>AI模拟</x:v>
      </x:c>
      <x:c r="O54" s="8" t="str">
        <x:v>现代轻奢</x:v>
      </x:c>
      <x:c r="P54" s="8" t="str">
        <x:v>AI模拟</x:v>
      </x:c>
      <x:c r="Q54" s="8" t="str">
        <x:v>意式轻奢</x:v>
      </x:c>
      <x:c r="R54" s="8" t="str">
        <x:v>沉稳精致</x:v>
      </x:c>
      <x:c r="S54" s="12" t="n">
        <x:v>346000</x:v>
      </x:c>
      <x:c r="T54" s="12" t="n">
        <x:v>422000</x:v>
      </x:c>
      <x:c r="U54" s="12" t="n">
        <x:v>384000</x:v>
      </x:c>
      <x:c r="V54" s="8" t="str">
        <x:v>三代同堂</x:v>
      </x:c>
      <x:c r="W54" s="8" t="str">
        <x:v>适老;夜间照明;低位收纳</x:v>
      </x:c>
      <x:c r="X54" s="8" t="str">
        <x:v>暖灰;香槟金;深木</x:v>
      </x:c>
      <x:c r="Y54" s="8" t="str">
        <x:v>岩板;金属;玻璃;肤感板</x:v>
      </x:c>
      <x:c r="Z54" s="13" t="n">
        <x:v>0.72</x:v>
      </x:c>
      <x:c r="AA54" s="8" t="str">
        <x:v>无主灯+重点照明</x:v>
      </x:c>
      <x:c r="AB54" s="8" t="str">
        <x:v>AI模拟已成交标签</x:v>
      </x:c>
      <x:c r="AC54" s="8" t="str">
        <x:v>无</x:v>
      </x:c>
      <x:c r="AD54" s="8" t="n">
        <x:v>4</x:v>
      </x:c>
      <x:c r="AE54" s="14" t="n">
        <x:v>4.3999999999999995</x:v>
      </x:c>
      <x:c r="AF54" s="8" t="n">
        <x:v>60</x:v>
      </x:c>
      <x:c r="AG54" s="8" t="str">
        <x:v>全部业务字段待真实数据替换</x:v>
      </x:c>
      <x:c r="AH54" s="8" t="str">
        <x:v>内部MVP演示</x:v>
      </x:c>
      <x:c r="AI54" s="8" t="str">
        <x:v>可用于MVP规则测试；不可当作真实案例</x:v>
      </x:c>
      <x:c r="AJ54" s="9" t="b">
        <x:v>1</x:v>
      </x:c>
      <x:c r="AK54" s="8" t="str">
        <x:v>待AI生成/待授权素材</x:v>
      </x:c>
      <x:c r="AL54" s="15" t="n">
        <x:v>46220</x:v>
      </x:c>
      <x:c r="AM54" s="8" t="n">
        <x:f>COUNTIF($A$2:$A$61,A54)</x:f>
        <x:v>1</x:v>
      </x:c>
      <x:c r="AN54" s="8" t="str">
        <x:f>IF(AND(AM54=1,M54&gt;=30,M54&lt;=220,S54&lt;=U54,U54&lt;=T54,AJ54=TRUE,AC54="无"),"PASS","CHECK")</x:f>
        <x:v>PASS</x:v>
      </x:c>
    </x:row>
    <x:row r="55">
      <x:c r="A55" s="10" t="str">
        <x:v>OP-AI-009</x:v>
      </x:c>
      <x:c r="B55" s="8" t="str">
        <x:v>东方留白书香之家</x:v>
      </x:c>
      <x:c r="C55" s="8" t="str">
        <x:v>纯AI模拟</x:v>
      </x:c>
      <x:c r="D55" s="9" t="b">
        <x:v>0</x:v>
      </x:c>
      <x:c r="E55" s="8" t="str"/>
      <x:c r="F55" s="8" t="str"/>
      <x:c r="G55" s="8" t="str">
        <x:v>无</x:v>
      </x:c>
      <x:c r="H55" s="8" t="str">
        <x:v>全部字段（含名称、户型、面积、风格、预算、家庭、配色、材质、成交与交付）</x:v>
      </x:c>
      <x:c r="I55" s="8" t="str">
        <x:v>华南</x:v>
      </x:c>
      <x:c r="J55" s="8" t="str">
        <x:v>惠州</x:v>
      </x:c>
      <x:c r="K55" s="8" t="str">
        <x:v>四房两厅</x:v>
      </x:c>
      <x:c r="L55" s="8" t="str">
        <x:v>AI模拟</x:v>
      </x:c>
      <x:c r="M55" s="11" t="n">
        <x:v>142</x:v>
      </x:c>
      <x:c r="N55" s="8" t="str">
        <x:v>AI模拟</x:v>
      </x:c>
      <x:c r="O55" s="8" t="str">
        <x:v>新中式</x:v>
      </x:c>
      <x:c r="P55" s="8" t="str">
        <x:v>AI模拟</x:v>
      </x:c>
      <x:c r="Q55" s="8" t="str">
        <x:v>东方雅致</x:v>
      </x:c>
      <x:c r="R55" s="8" t="str">
        <x:v>安静雅致</x:v>
      </x:c>
      <x:c r="S55" s="12" t="n">
        <x:v>289000</x:v>
      </x:c>
      <x:c r="T55" s="12" t="n">
        <x:v>353000</x:v>
      </x:c>
      <x:c r="U55" s="12" t="n">
        <x:v>321000</x:v>
      </x:c>
      <x:c r="V55" s="8" t="str">
        <x:v>夫妻+2名儿童</x:v>
      </x:c>
      <x:c r="W55" s="8" t="str">
        <x:v>儿童安全;成长收纳</x:v>
      </x:c>
      <x:c r="X55" s="8" t="str">
        <x:v>米白;胡桃木;黛灰</x:v>
      </x:c>
      <x:c r="Y55" s="8" t="str">
        <x:v>木纹板;格栅;岩板;黄铜</x:v>
      </x:c>
      <x:c r="Z55" s="13" t="n">
        <x:v>0.78</x:v>
      </x:c>
      <x:c r="AA55" s="8" t="str">
        <x:v>暖光混合照明</x:v>
      </x:c>
      <x:c r="AB55" s="8" t="str">
        <x:v>AI模拟已成交标签</x:v>
      </x:c>
      <x:c r="AC55" s="8" t="str">
        <x:v>无</x:v>
      </x:c>
      <x:c r="AD55" s="8" t="n">
        <x:v>1</x:v>
      </x:c>
      <x:c r="AE55" s="14" t="n">
        <x:v>4.55</x:v>
      </x:c>
      <x:c r="AF55" s="8" t="n">
        <x:v>65</x:v>
      </x:c>
      <x:c r="AG55" s="8" t="str">
        <x:v>全部业务字段待真实数据替换</x:v>
      </x:c>
      <x:c r="AH55" s="8" t="str">
        <x:v>内部MVP演示</x:v>
      </x:c>
      <x:c r="AI55" s="8" t="str">
        <x:v>可用于MVP规则测试；不可当作真实案例</x:v>
      </x:c>
      <x:c r="AJ55" s="9" t="b">
        <x:v>1</x:v>
      </x:c>
      <x:c r="AK55" s="8" t="str">
        <x:v>待AI生成/待授权素材</x:v>
      </x:c>
      <x:c r="AL55" s="15" t="n">
        <x:v>46220</x:v>
      </x:c>
      <x:c r="AM55" s="8" t="n">
        <x:f>COUNTIF($A$2:$A$61,A55)</x:f>
        <x:v>1</x:v>
      </x:c>
      <x:c r="AN55" s="8" t="str">
        <x:f>IF(AND(AM55=1,M55&gt;=30,M55&lt;=220,S55&lt;=U55,U55&lt;=T55,AJ55=TRUE,AC55="无"),"PASS","CHECK")</x:f>
        <x:v>PASS</x:v>
      </x:c>
    </x:row>
    <x:row r="56">
      <x:c r="A56" s="10" t="str">
        <x:v>OP-AI-010</x:v>
      </x:c>
      <x:c r="B56" s="8" t="str">
        <x:v>小户型奶油猫咪屋</x:v>
      </x:c>
      <x:c r="C56" s="8" t="str">
        <x:v>纯AI模拟</x:v>
      </x:c>
      <x:c r="D56" s="9" t="b">
        <x:v>0</x:v>
      </x:c>
      <x:c r="E56" s="8" t="str"/>
      <x:c r="F56" s="8" t="str"/>
      <x:c r="G56" s="8" t="str">
        <x:v>无</x:v>
      </x:c>
      <x:c r="H56" s="8" t="str">
        <x:v>全部字段（含名称、户型、面积、风格、预算、家庭、配色、材质、成交与交付）</x:v>
      </x:c>
      <x:c r="I56" s="8" t="str">
        <x:v>华南</x:v>
      </x:c>
      <x:c r="J56" s="8" t="str">
        <x:v>广州</x:v>
      </x:c>
      <x:c r="K56" s="8" t="str">
        <x:v>一房一厅</x:v>
      </x:c>
      <x:c r="L56" s="8" t="str">
        <x:v>AI模拟</x:v>
      </x:c>
      <x:c r="M56" s="11" t="n">
        <x:v>58</x:v>
      </x:c>
      <x:c r="N56" s="8" t="str">
        <x:v>AI模拟</x:v>
      </x:c>
      <x:c r="O56" s="8" t="str">
        <x:v>奶油风</x:v>
      </x:c>
      <x:c r="P56" s="8" t="str">
        <x:v>AI模拟</x:v>
      </x:c>
      <x:c r="Q56" s="8" t="str">
        <x:v>柔和治愈</x:v>
      </x:c>
      <x:c r="R56" s="8" t="str">
        <x:v>温馨柔和</x:v>
      </x:c>
      <x:c r="S56" s="12" t="n">
        <x:v>114000</x:v>
      </x:c>
      <x:c r="T56" s="12" t="n">
        <x:v>140000</x:v>
      </x:c>
      <x:c r="U56" s="12" t="n">
        <x:v>127000</x:v>
      </x:c>
      <x:c r="V56" s="8" t="str">
        <x:v>单身+宠物</x:v>
      </x:c>
      <x:c r="W56" s="8" t="str">
        <x:v>适宠;耐磨易清洁</x:v>
      </x:c>
      <x:c r="X56" s="8" t="str">
        <x:v>奶油白;浅咖;杏色</x:v>
      </x:c>
      <x:c r="Y56" s="8" t="str">
        <x:v>肤感板;柔光砖;织物</x:v>
      </x:c>
      <x:c r="Z56" s="13" t="n">
        <x:v>0.8400000000000001</x:v>
      </x:c>
      <x:c r="AA56" s="8" t="str">
        <x:v>暖光混合照明</x:v>
      </x:c>
      <x:c r="AB56" s="8" t="str">
        <x:v>AI模拟已成交标签</x:v>
      </x:c>
      <x:c r="AC56" s="8" t="str">
        <x:v>无</x:v>
      </x:c>
      <x:c r="AD56" s="8" t="n">
        <x:v>2</x:v>
      </x:c>
      <x:c r="AE56" s="14" t="n">
        <x:v>4.699999999999999</x:v>
      </x:c>
      <x:c r="AF56" s="8" t="n">
        <x:v>70</x:v>
      </x:c>
      <x:c r="AG56" s="8" t="str">
        <x:v>AI效果图待生成;预算需线下核价</x:v>
      </x:c>
      <x:c r="AH56" s="8" t="str">
        <x:v>内部MVP演示</x:v>
      </x:c>
      <x:c r="AI56" s="8" t="str">
        <x:v>可用于MVP规则测试；不可当作真实案例</x:v>
      </x:c>
      <x:c r="AJ56" s="9" t="b">
        <x:v>1</x:v>
      </x:c>
      <x:c r="AK56" s="8" t="str">
        <x:v>待AI生成/待授权素材</x:v>
      </x:c>
      <x:c r="AL56" s="15" t="n">
        <x:v>46220</x:v>
      </x:c>
      <x:c r="AM56" s="8" t="n">
        <x:f>COUNTIF($A$2:$A$61,A56)</x:f>
        <x:v>1</x:v>
      </x:c>
      <x:c r="AN56" s="8" t="str">
        <x:f>IF(AND(AM56=1,M56&gt;=30,M56&lt;=220,S56&lt;=U56,U56&lt;=T56,AJ56=TRUE,AC56="无"),"PASS","CHECK")</x:f>
        <x:v>PASS</x:v>
      </x:c>
    </x:row>
    <x:row r="57">
      <x:c r="A57" s="10" t="str">
        <x:v>OP-AI-011</x:v>
      </x:c>
      <x:c r="B57" s="8" t="str">
        <x:v>全龄无障碍原木宅</x:v>
      </x:c>
      <x:c r="C57" s="8" t="str">
        <x:v>纯AI模拟</x:v>
      </x:c>
      <x:c r="D57" s="9" t="b">
        <x:v>0</x:v>
      </x:c>
      <x:c r="E57" s="8" t="str"/>
      <x:c r="F57" s="8" t="str"/>
      <x:c r="G57" s="8" t="str">
        <x:v>无</x:v>
      </x:c>
      <x:c r="H57" s="8" t="str">
        <x:v>全部字段（含名称、户型、面积、风格、预算、家庭、配色、材质、成交与交付）</x:v>
      </x:c>
      <x:c r="I57" s="8" t="str">
        <x:v>华南</x:v>
      </x:c>
      <x:c r="J57" s="8" t="str">
        <x:v>深圳</x:v>
      </x:c>
      <x:c r="K57" s="8" t="str">
        <x:v>四房两厅</x:v>
      </x:c>
      <x:c r="L57" s="8" t="str">
        <x:v>AI模拟</x:v>
      </x:c>
      <x:c r="M57" s="11" t="n">
        <x:v>160</x:v>
      </x:c>
      <x:c r="N57" s="8" t="str">
        <x:v>AI模拟</x:v>
      </x:c>
      <x:c r="O57" s="8" t="str">
        <x:v>现代原木</x:v>
      </x:c>
      <x:c r="P57" s="8" t="str">
        <x:v>AI模拟</x:v>
      </x:c>
      <x:c r="Q57" s="8" t="str">
        <x:v>自然北欧</x:v>
      </x:c>
      <x:c r="R57" s="8" t="str">
        <x:v>温暖松弛</x:v>
      </x:c>
      <x:c r="S57" s="12" t="n">
        <x:v>308000</x:v>
      </x:c>
      <x:c r="T57" s="12" t="n">
        <x:v>376000</x:v>
      </x:c>
      <x:c r="U57" s="12" t="n">
        <x:v>342000</x:v>
      </x:c>
      <x:c r="V57" s="8" t="str">
        <x:v>三代同堂</x:v>
      </x:c>
      <x:c r="W57" s="8" t="str">
        <x:v>适老;夜间照明;低位收纳</x:v>
      </x:c>
      <x:c r="X57" s="8" t="str">
        <x:v>米白;浅橡木;暖灰</x:v>
      </x:c>
      <x:c r="Y57" s="8" t="str">
        <x:v>木纹板;哑光板;织物</x:v>
      </x:c>
      <x:c r="Z57" s="13" t="n">
        <x:v>0.74</x:v>
      </x:c>
      <x:c r="AA57" s="8" t="str">
        <x:v>暖光无主灯</x:v>
      </x:c>
      <x:c r="AB57" s="8" t="str">
        <x:v>AI模拟已成交标签</x:v>
      </x:c>
      <x:c r="AC57" s="8" t="str">
        <x:v>无</x:v>
      </x:c>
      <x:c r="AD57" s="8" t="n">
        <x:v>3</x:v>
      </x:c>
      <x:c r="AE57" s="14" t="n">
        <x:v>4.1</x:v>
      </x:c>
      <x:c r="AF57" s="8" t="n">
        <x:v>75</x:v>
      </x:c>
      <x:c r="AG57" s="8" t="str">
        <x:v>全部业务字段待真实数据替换</x:v>
      </x:c>
      <x:c r="AH57" s="8" t="str">
        <x:v>内部MVP演示</x:v>
      </x:c>
      <x:c r="AI57" s="8" t="str">
        <x:v>可用于MVP规则测试；不可当作真实案例</x:v>
      </x:c>
      <x:c r="AJ57" s="9" t="b">
        <x:v>1</x:v>
      </x:c>
      <x:c r="AK57" s="8" t="str">
        <x:v>待AI生成/待授权素材</x:v>
      </x:c>
      <x:c r="AL57" s="15" t="n">
        <x:v>46220</x:v>
      </x:c>
      <x:c r="AM57" s="8" t="n">
        <x:f>COUNTIF($A$2:$A$61,A57)</x:f>
        <x:v>1</x:v>
      </x:c>
      <x:c r="AN57" s="8" t="str">
        <x:f>IF(AND(AM57=1,M57&gt;=30,M57&lt;=220,S57&lt;=U57,U57&lt;=T57,AJ57=TRUE,AC57="无"),"PASS","CHECK")</x:f>
        <x:v>PASS</x:v>
      </x:c>
    </x:row>
    <x:row r="58">
      <x:c r="A58" s="10" t="str">
        <x:v>OP-AI-012</x:v>
      </x:c>
      <x:c r="B58" s="8" t="str">
        <x:v>琥珀金属都市大宅</x:v>
      </x:c>
      <x:c r="C58" s="8" t="str">
        <x:v>纯AI模拟</x:v>
      </x:c>
      <x:c r="D58" s="9" t="b">
        <x:v>0</x:v>
      </x:c>
      <x:c r="E58" s="8" t="str"/>
      <x:c r="F58" s="8" t="str"/>
      <x:c r="G58" s="8" t="str">
        <x:v>无</x:v>
      </x:c>
      <x:c r="H58" s="8" t="str">
        <x:v>全部字段（含名称、户型、面积、风格、预算、家庭、配色、材质、成交与交付）</x:v>
      </x:c>
      <x:c r="I58" s="8" t="str">
        <x:v>华南</x:v>
      </x:c>
      <x:c r="J58" s="8" t="str">
        <x:v>佛山</x:v>
      </x:c>
      <x:c r="K58" s="8" t="str">
        <x:v>四房两厅</x:v>
      </x:c>
      <x:c r="L58" s="8" t="str">
        <x:v>AI模拟</x:v>
      </x:c>
      <x:c r="M58" s="11" t="n">
        <x:v>168</x:v>
      </x:c>
      <x:c r="N58" s="8" t="str">
        <x:v>AI模拟</x:v>
      </x:c>
      <x:c r="O58" s="8" t="str">
        <x:v>现代轻奢</x:v>
      </x:c>
      <x:c r="P58" s="8" t="str">
        <x:v>AI模拟</x:v>
      </x:c>
      <x:c r="Q58" s="8" t="str">
        <x:v>意式轻奢</x:v>
      </x:c>
      <x:c r="R58" s="8" t="str">
        <x:v>沉稳精致</x:v>
      </x:c>
      <x:c r="S58" s="12" t="n">
        <x:v>373000</x:v>
      </x:c>
      <x:c r="T58" s="12" t="n">
        <x:v>455000</x:v>
      </x:c>
      <x:c r="U58" s="12" t="n">
        <x:v>414000</x:v>
      </x:c>
      <x:c r="V58" s="8" t="str">
        <x:v>夫妻+1名儿童</x:v>
      </x:c>
      <x:c r="W58" s="8" t="str">
        <x:v>儿童安全;成长收纳</x:v>
      </x:c>
      <x:c r="X58" s="8" t="str">
        <x:v>暖灰;香槟金;深木</x:v>
      </x:c>
      <x:c r="Y58" s="8" t="str">
        <x:v>岩板;金属;玻璃;肤感板</x:v>
      </x:c>
      <x:c r="Z58" s="13" t="n">
        <x:v>0.7</x:v>
      </x:c>
      <x:c r="AA58" s="8" t="str">
        <x:v>无主灯+重点照明</x:v>
      </x:c>
      <x:c r="AB58" s="8" t="str">
        <x:v>AI模拟已成交标签</x:v>
      </x:c>
      <x:c r="AC58" s="8" t="str">
        <x:v>无</x:v>
      </x:c>
      <x:c r="AD58" s="8" t="n">
        <x:v>4</x:v>
      </x:c>
      <x:c r="AE58" s="14" t="n">
        <x:v>4.25</x:v>
      </x:c>
      <x:c r="AF58" s="8" t="n">
        <x:v>80</x:v>
      </x:c>
      <x:c r="AG58" s="8" t="str">
        <x:v>全部业务字段待真实数据替换</x:v>
      </x:c>
      <x:c r="AH58" s="8" t="str">
        <x:v>内部MVP演示</x:v>
      </x:c>
      <x:c r="AI58" s="8" t="str">
        <x:v>可用于MVP规则测试；不可当作真实案例</x:v>
      </x:c>
      <x:c r="AJ58" s="9" t="b">
        <x:v>1</x:v>
      </x:c>
      <x:c r="AK58" s="8" t="str">
        <x:v>待AI生成/待授权素材</x:v>
      </x:c>
      <x:c r="AL58" s="15" t="n">
        <x:v>46220</x:v>
      </x:c>
      <x:c r="AM58" s="8" t="n">
        <x:f>COUNTIF($A$2:$A$61,A58)</x:f>
        <x:v>1</x:v>
      </x:c>
      <x:c r="AN58" s="8" t="str">
        <x:f>IF(AND(AM58=1,M58&gt;=30,M58&lt;=220,S58&lt;=U58,U58&lt;=T58,AJ58=TRUE,AC58="无"),"PASS","CHECK")</x:f>
        <x:v>PASS</x:v>
      </x:c>
    </x:row>
    <x:row r="59">
      <x:c r="A59" s="10" t="str">
        <x:v>OP-AI-013</x:v>
      </x:c>
      <x:c r="B59" s="8" t="str">
        <x:v>智能极简四口之家</x:v>
      </x:c>
      <x:c r="C59" s="8" t="str">
        <x:v>纯AI模拟</x:v>
      </x:c>
      <x:c r="D59" s="9" t="b">
        <x:v>0</x:v>
      </x:c>
      <x:c r="E59" s="8" t="str"/>
      <x:c r="F59" s="8" t="str"/>
      <x:c r="G59" s="8" t="str">
        <x:v>无</x:v>
      </x:c>
      <x:c r="H59" s="8" t="str">
        <x:v>全部字段（含名称、户型、面积、风格、预算、家庭、配色、材质、成交与交付）</x:v>
      </x:c>
      <x:c r="I59" s="8" t="str">
        <x:v>华南</x:v>
      </x:c>
      <x:c r="J59" s="8" t="str">
        <x:v>东莞</x:v>
      </x:c>
      <x:c r="K59" s="8" t="str">
        <x:v>四房两厅</x:v>
      </x:c>
      <x:c r="L59" s="8" t="str">
        <x:v>AI模拟</x:v>
      </x:c>
      <x:c r="M59" s="11" t="n">
        <x:v>132</x:v>
      </x:c>
      <x:c r="N59" s="8" t="str">
        <x:v>AI模拟</x:v>
      </x:c>
      <x:c r="O59" s="8" t="str">
        <x:v>现代简约</x:v>
      </x:c>
      <x:c r="P59" s="8" t="str">
        <x:v>AI模拟</x:v>
      </x:c>
      <x:c r="Q59" s="8" t="str">
        <x:v>极简</x:v>
      </x:c>
      <x:c r="R59" s="8" t="str">
        <x:v>明亮有序</x:v>
      </x:c>
      <x:c r="S59" s="12" t="n">
        <x:v>231000</x:v>
      </x:c>
      <x:c r="T59" s="12" t="n">
        <x:v>283000</x:v>
      </x:c>
      <x:c r="U59" s="12" t="n">
        <x:v>257000</x:v>
      </x:c>
      <x:c r="V59" s="8" t="str">
        <x:v>夫妻+2名儿童</x:v>
      </x:c>
      <x:c r="W59" s="8" t="str">
        <x:v>儿童安全;成长收纳</x:v>
      </x:c>
      <x:c r="X59" s="8" t="str">
        <x:v>米白;浅灰;木色</x:v>
      </x:c>
      <x:c r="Y59" s="8" t="str">
        <x:v>哑光板;岩板;玻璃</x:v>
      </x:c>
      <x:c r="Z59" s="13" t="n">
        <x:v>0.82</x:v>
      </x:c>
      <x:c r="AA59" s="8" t="str">
        <x:v>混合照明</x:v>
      </x:c>
      <x:c r="AB59" s="8" t="str">
        <x:v>AI模拟已成交标签</x:v>
      </x:c>
      <x:c r="AC59" s="8" t="str">
        <x:v>无</x:v>
      </x:c>
      <x:c r="AD59" s="8" t="n">
        <x:v>1</x:v>
      </x:c>
      <x:c r="AE59" s="14" t="n">
        <x:v>4.3999999999999995</x:v>
      </x:c>
      <x:c r="AF59" s="8" t="n">
        <x:v>55</x:v>
      </x:c>
      <x:c r="AG59" s="8" t="str">
        <x:v>AI效果图待生成;预算需线下核价</x:v>
      </x:c>
      <x:c r="AH59" s="8" t="str">
        <x:v>内部MVP演示</x:v>
      </x:c>
      <x:c r="AI59" s="8" t="str">
        <x:v>可用于MVP规则测试；不可当作真实案例</x:v>
      </x:c>
      <x:c r="AJ59" s="9" t="b">
        <x:v>1</x:v>
      </x:c>
      <x:c r="AK59" s="8" t="str">
        <x:v>待AI生成/待授权素材</x:v>
      </x:c>
      <x:c r="AL59" s="15" t="n">
        <x:v>46220</x:v>
      </x:c>
      <x:c r="AM59" s="8" t="n">
        <x:f>COUNTIF($A$2:$A$61,A59)</x:f>
        <x:v>1</x:v>
      </x:c>
      <x:c r="AN59" s="8" t="str">
        <x:f>IF(AND(AM59=1,M59&gt;=30,M59&lt;=220,S59&lt;=U59,U59&lt;=T59,AJ59=TRUE,AC59="无"),"PASS","CHECK")</x:f>
        <x:v>PASS</x:v>
      </x:c>
    </x:row>
    <x:row r="60">
      <x:c r="A60" s="10" t="str">
        <x:v>OP-AI-014</x:v>
      </x:c>
      <x:c r="B60" s="8" t="str">
        <x:v>东方茶叙适老雅居</x:v>
      </x:c>
      <x:c r="C60" s="8" t="str">
        <x:v>纯AI模拟</x:v>
      </x:c>
      <x:c r="D60" s="9" t="b">
        <x:v>0</x:v>
      </x:c>
      <x:c r="E60" s="8" t="str"/>
      <x:c r="F60" s="8" t="str"/>
      <x:c r="G60" s="8" t="str">
        <x:v>无</x:v>
      </x:c>
      <x:c r="H60" s="8" t="str">
        <x:v>全部字段（含名称、户型、面积、风格、预算、家庭、配色、材质、成交与交付）</x:v>
      </x:c>
      <x:c r="I60" s="8" t="str">
        <x:v>华南</x:v>
      </x:c>
      <x:c r="J60" s="8" t="str">
        <x:v>珠海</x:v>
      </x:c>
      <x:c r="K60" s="8" t="str">
        <x:v>三房两厅</x:v>
      </x:c>
      <x:c r="L60" s="8" t="str">
        <x:v>AI模拟</x:v>
      </x:c>
      <x:c r="M60" s="11" t="n">
        <x:v>126</x:v>
      </x:c>
      <x:c r="N60" s="8" t="str">
        <x:v>AI模拟</x:v>
      </x:c>
      <x:c r="O60" s="8" t="str">
        <x:v>新中式</x:v>
      </x:c>
      <x:c r="P60" s="8" t="str">
        <x:v>AI模拟</x:v>
      </x:c>
      <x:c r="Q60" s="8" t="str">
        <x:v>东方雅致</x:v>
      </x:c>
      <x:c r="R60" s="8" t="str">
        <x:v>安静雅致</x:v>
      </x:c>
      <x:c r="S60" s="12" t="n">
        <x:v>263000</x:v>
      </x:c>
      <x:c r="T60" s="12" t="n">
        <x:v>321000</x:v>
      </x:c>
      <x:c r="U60" s="12" t="n">
        <x:v>292000</x:v>
      </x:c>
      <x:c r="V60" s="8" t="str">
        <x:v>夫妻+老人</x:v>
      </x:c>
      <x:c r="W60" s="8" t="str">
        <x:v>适老;夜间照明;低位收纳</x:v>
      </x:c>
      <x:c r="X60" s="8" t="str">
        <x:v>米白;胡桃木;黛灰</x:v>
      </x:c>
      <x:c r="Y60" s="8" t="str">
        <x:v>木纹板;格栅;岩板;黄铜</x:v>
      </x:c>
      <x:c r="Z60" s="13" t="n">
        <x:v>0.78</x:v>
      </x:c>
      <x:c r="AA60" s="8" t="str">
        <x:v>暖光混合照明</x:v>
      </x:c>
      <x:c r="AB60" s="8" t="str">
        <x:v>AI模拟已成交标签</x:v>
      </x:c>
      <x:c r="AC60" s="8" t="str">
        <x:v>无</x:v>
      </x:c>
      <x:c r="AD60" s="8" t="n">
        <x:v>2</x:v>
      </x:c>
      <x:c r="AE60" s="14" t="n">
        <x:v>4.55</x:v>
      </x:c>
      <x:c r="AF60" s="8" t="n">
        <x:v>60</x:v>
      </x:c>
      <x:c r="AG60" s="8" t="str">
        <x:v>全部业务字段待真实数据替换</x:v>
      </x:c>
      <x:c r="AH60" s="8" t="str">
        <x:v>内部MVP演示</x:v>
      </x:c>
      <x:c r="AI60" s="8" t="str">
        <x:v>可用于MVP规则测试；不可当作真实案例</x:v>
      </x:c>
      <x:c r="AJ60" s="9" t="b">
        <x:v>1</x:v>
      </x:c>
      <x:c r="AK60" s="8" t="str">
        <x:v>待AI生成/待授权素材</x:v>
      </x:c>
      <x:c r="AL60" s="15" t="n">
        <x:v>46220</x:v>
      </x:c>
      <x:c r="AM60" s="8" t="n">
        <x:f>COUNTIF($A$2:$A$61,A60)</x:f>
        <x:v>1</x:v>
      </x:c>
      <x:c r="AN60" s="8" t="str">
        <x:f>IF(AND(AM60=1,M60&gt;=30,M60&lt;=220,S60&lt;=U60,U60&lt;=T60,AJ60=TRUE,AC60="无"),"PASS","CHECK")</x:f>
        <x:v>PASS</x:v>
      </x:c>
    </x:row>
    <x:row r="61">
      <x:c r="A61" s="10" t="str">
        <x:v>OP-AI-015</x:v>
      </x:c>
      <x:c r="B61" s="8" t="str">
        <x:v>柔光意式收纳宅</x:v>
      </x:c>
      <x:c r="C61" s="8" t="str">
        <x:v>纯AI模拟</x:v>
      </x:c>
      <x:c r="D61" s="9" t="b">
        <x:v>0</x:v>
      </x:c>
      <x:c r="E61" s="8" t="str"/>
      <x:c r="F61" s="8" t="str"/>
      <x:c r="G61" s="8" t="str">
        <x:v>无</x:v>
      </x:c>
      <x:c r="H61" s="8" t="str">
        <x:v>全部字段（含名称、户型、面积、风格、预算、家庭、配色、材质、成交与交付）</x:v>
      </x:c>
      <x:c r="I61" s="8" t="str">
        <x:v>华南</x:v>
      </x:c>
      <x:c r="J61" s="8" t="str">
        <x:v>惠州</x:v>
      </x:c>
      <x:c r="K61" s="8" t="str">
        <x:v>三房两厅</x:v>
      </x:c>
      <x:c r="L61" s="8" t="str">
        <x:v>AI模拟</x:v>
      </x:c>
      <x:c r="M61" s="11" t="n">
        <x:v>112</x:v>
      </x:c>
      <x:c r="N61" s="8" t="str">
        <x:v>AI模拟</x:v>
      </x:c>
      <x:c r="O61" s="8" t="str">
        <x:v>现代轻奢</x:v>
      </x:c>
      <x:c r="P61" s="8" t="str">
        <x:v>AI模拟</x:v>
      </x:c>
      <x:c r="Q61" s="8" t="str">
        <x:v>意式轻奢</x:v>
      </x:c>
      <x:c r="R61" s="8" t="str">
        <x:v>沉稳精致</x:v>
      </x:c>
      <x:c r="S61" s="12" t="n">
        <x:v>248000</x:v>
      </x:c>
      <x:c r="T61" s="12" t="n">
        <x:v>304000</x:v>
      </x:c>
      <x:c r="U61" s="12" t="n">
        <x:v>276000</x:v>
      </x:c>
      <x:c r="V61" s="8" t="str">
        <x:v>夫妻+1名儿童</x:v>
      </x:c>
      <x:c r="W61" s="8" t="str">
        <x:v>儿童安全;成长收纳</x:v>
      </x:c>
      <x:c r="X61" s="8" t="str">
        <x:v>暖灰;香槟金;深木</x:v>
      </x:c>
      <x:c r="Y61" s="8" t="str">
        <x:v>岩板;金属;玻璃;肤感板</x:v>
      </x:c>
      <x:c r="Z61" s="13" t="n">
        <x:v>0.76</x:v>
      </x:c>
      <x:c r="AA61" s="8" t="str">
        <x:v>无主灯+重点照明</x:v>
      </x:c>
      <x:c r="AB61" s="8" t="str">
        <x:v>AI模拟已成交标签</x:v>
      </x:c>
      <x:c r="AC61" s="8" t="str">
        <x:v>无</x:v>
      </x:c>
      <x:c r="AD61" s="8" t="n">
        <x:v>3</x:v>
      </x:c>
      <x:c r="AE61" s="14" t="n">
        <x:v>4.699999999999999</x:v>
      </x:c>
      <x:c r="AF61" s="8" t="n">
        <x:v>65</x:v>
      </x:c>
      <x:c r="AG61" s="8" t="str">
        <x:v>全部业务字段待真实数据替换</x:v>
      </x:c>
      <x:c r="AH61" s="8" t="str">
        <x:v>内部MVP演示</x:v>
      </x:c>
      <x:c r="AI61" s="8" t="str">
        <x:v>可用于MVP规则测试；不可当作真实案例</x:v>
      </x:c>
      <x:c r="AJ61" s="9" t="b">
        <x:v>1</x:v>
      </x:c>
      <x:c r="AK61" s="8" t="str">
        <x:v>待AI生成/待授权素材</x:v>
      </x:c>
      <x:c r="AL61" s="15" t="n">
        <x:v>46220</x:v>
      </x:c>
      <x:c r="AM61" s="8" t="n">
        <x:f>COUNTIF($A$2:$A$61,A61)</x:f>
        <x:v>1</x:v>
      </x:c>
      <x:c r="AN61" s="8" t="str">
        <x:f>IF(AND(AM61=1,M61&gt;=30,M61&lt;=220,S61&lt;=U61,U61&lt;=T61,AJ61=TRUE,AC61="无"),"PASS","CHECK")</x:f>
        <x:v>PASS</x:v>
      </x:c>
    </x:row>
  </x:sheetData>
  <x:conditionalFormatting sqref="C2:C61">
    <x:cfRule type="containsText" dxfId="0" priority="1" operator="containsText" text="纯AI模拟"/>
    <x:cfRule type="containsText" dxfId="1" priority="2" operator="containsText" text="官网公开案例"/>
  </x:conditionalFormatting>
  <x:conditionalFormatting sqref="AN2:AN61">
    <x:cfRule type="containsText" dxfId="2" priority="3" operator="containsText" text="PASS"/>
    <x:cfRule type="containsText" dxfId="3" priority="4" operator="containsText" text="CHECK"/>
  </x:conditionalFormatting>
  <x:dataValidations count="3">
    <x:dataValidation type="list" sqref="C2:C61">
      <x:formula1>"官网公开案例+AI补全,纯AI模拟"</x:formula1>
    </x:dataValidation>
    <x:dataValidation type="list" sqref="K2:K61">
      <x:formula1>"一房一厅,两房两厅,三房两厅,四房两厅"</x:formula1>
    </x:dataValidation>
    <x:dataValidation type="list" sqref="O2:O61">
      <x:formula1>"现代简约,现代原木,奶油风,现代轻奢,新中式,混合"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68cf5c166b475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</x:cols>
  <x:sheetData>
    <x:row r="1" ht="34" customHeight="1">
      <x:c r="A1" s="18" t="str">
        <x:v>欧派AI灵感家｜60条案例数据分布</x:v>
      </x:c>
      <x:c r="B1" s="18"/>
      <x:c r="C1" s="18"/>
      <x:c r="D1" s="18"/>
      <x:c r="E1" s="18"/>
      <x:c r="F1" s="18"/>
      <x:c r="G1" s="18"/>
      <x:c r="H1" s="18"/>
    </x:row>
    <x:row r="2">
      <x:c r="A2" s="37" t="str">
        <x:v>案例总数</x:v>
      </x:c>
      <x:c r="B2" s="37" t="n">
        <x:v>60</x:v>
      </x:c>
      <x:c r="C2" s="37" t="str">
        <x:v>官网参考+AI补全</x:v>
      </x:c>
      <x:c r="D2" s="37" t="n">
        <x:v>45</x:v>
      </x:c>
      <x:c r="E2" s="37" t="str">
        <x:v>纯AI模拟</x:v>
      </x:c>
      <x:c r="F2" s="37" t="n">
        <x:v>15</x:v>
      </x:c>
      <x:c r="G2" s="37" t="str">
        <x:v>真实成交证明</x:v>
      </x:c>
      <x:c r="H2" s="37" t="n">
        <x:v>0</x:v>
      </x:c>
    </x:row>
    <x:row r="3">
      <x:c r="A3" s="38"/>
      <x:c r="B3" s="38"/>
      <x:c r="C3" s="38"/>
      <x:c r="D3" s="38"/>
      <x:c r="E3" s="38"/>
      <x:c r="F3" s="38"/>
      <x:c r="G3" s="38"/>
      <x:c r="H3" s="38"/>
    </x:row>
    <x:row r="4">
      <x:c r="A4" s="39" t="str">
        <x:v>主风格</x:v>
      </x:c>
      <x:c r="B4" s="40" t="str">
        <x:v>数量</x:v>
      </x:c>
      <x:c r="C4" s="38"/>
      <x:c r="D4" s="38"/>
      <x:c r="E4" s="38"/>
      <x:c r="F4" s="38"/>
      <x:c r="G4" s="38"/>
      <x:c r="H4" s="38"/>
    </x:row>
    <x:row r="5">
      <x:c r="A5" s="41" t="str">
        <x:v>现代简约</x:v>
      </x:c>
      <x:c r="B5" s="41" t="n">
        <x:f>COUNTIF('案例主表'!$O$2:$O$61,A5)</x:f>
        <x:v>12</x:v>
      </x:c>
      <x:c r="C5" s="38"/>
      <x:c r="D5" s="38"/>
      <x:c r="E5" s="38"/>
      <x:c r="F5" s="38"/>
      <x:c r="G5" s="38"/>
      <x:c r="H5" s="38"/>
    </x:row>
    <x:row r="6">
      <x:c r="A6" s="41" t="str">
        <x:v>现代原木</x:v>
      </x:c>
      <x:c r="B6" s="41" t="n">
        <x:f>COUNTIF('案例主表'!$O$2:$O$61,A6)</x:f>
        <x:v>10</x:v>
      </x:c>
      <x:c r="C6" s="38"/>
      <x:c r="D6" s="38"/>
      <x:c r="E6" s="38"/>
      <x:c r="F6" s="38"/>
      <x:c r="G6" s="38"/>
      <x:c r="H6" s="38"/>
    </x:row>
    <x:row r="7">
      <x:c r="A7" s="41" t="str">
        <x:v>奶油风</x:v>
      </x:c>
      <x:c r="B7" s="41" t="n">
        <x:f>COUNTIF('案例主表'!$O$2:$O$61,A7)</x:f>
        <x:v>16</x:v>
      </x:c>
      <x:c r="C7" s="38"/>
      <x:c r="D7" s="38"/>
      <x:c r="E7" s="38"/>
      <x:c r="F7" s="38"/>
      <x:c r="G7" s="38"/>
      <x:c r="H7" s="38"/>
    </x:row>
    <x:row r="8">
      <x:c r="A8" s="41" t="str">
        <x:v>现代轻奢</x:v>
      </x:c>
      <x:c r="B8" s="41" t="n">
        <x:f>COUNTIF('案例主表'!$O$2:$O$61,A8)</x:f>
        <x:v>10</x:v>
      </x:c>
      <x:c r="C8" s="38"/>
      <x:c r="D8" s="38"/>
      <x:c r="E8" s="38"/>
      <x:c r="F8" s="38"/>
      <x:c r="G8" s="38"/>
      <x:c r="H8" s="38"/>
    </x:row>
    <x:row r="9">
      <x:c r="A9" s="41" t="str">
        <x:v>新中式</x:v>
      </x:c>
      <x:c r="B9" s="41" t="n">
        <x:f>COUNTIF('案例主表'!$O$2:$O$61,A9)</x:f>
        <x:v>7</x:v>
      </x:c>
      <x:c r="C9" s="38"/>
      <x:c r="D9" s="38"/>
      <x:c r="E9" s="38"/>
      <x:c r="F9" s="38"/>
      <x:c r="G9" s="38"/>
      <x:c r="H9" s="38"/>
    </x:row>
    <x:row r="10">
      <x:c r="A10" s="41" t="str">
        <x:v>混合</x:v>
      </x:c>
      <x:c r="B10" s="41" t="n">
        <x:f>COUNTIF('案例主表'!$O$2:$O$61,A10)</x:f>
        <x:v>5</x:v>
      </x:c>
      <x:c r="C10" s="38"/>
      <x:c r="D10" s="38"/>
      <x:c r="E10" s="38"/>
      <x:c r="F10" s="38"/>
      <x:c r="G10" s="38"/>
      <x:c r="H10" s="38"/>
    </x:row>
    <x:row r="11">
      <x:c r="A11" s="38"/>
      <x:c r="B11" s="38"/>
      <x:c r="C11" s="38"/>
      <x:c r="D11" s="38"/>
      <x:c r="E11" s="38"/>
      <x:c r="F11" s="38"/>
      <x:c r="G11" s="38"/>
      <x:c r="H11" s="38"/>
    </x:row>
    <x:row r="12">
      <x:c r="A12" s="38"/>
      <x:c r="B12" s="38"/>
      <x:c r="C12" s="38"/>
      <x:c r="D12" s="38"/>
      <x:c r="E12" s="38"/>
      <x:c r="F12" s="38"/>
      <x:c r="G12" s="38"/>
      <x:c r="H12" s="38"/>
    </x:row>
    <x:row r="13">
      <x:c r="A13" s="39" t="str">
        <x:v>户型</x:v>
      </x:c>
      <x:c r="B13" s="40" t="str">
        <x:v>数量</x:v>
      </x:c>
      <x:c r="C13" s="38"/>
      <x:c r="D13" s="38"/>
      <x:c r="E13" s="38"/>
      <x:c r="F13" s="38"/>
      <x:c r="G13" s="38"/>
      <x:c r="H13" s="38"/>
    </x:row>
    <x:row r="14">
      <x:c r="A14" s="41" t="str">
        <x:v>一房一厅</x:v>
      </x:c>
      <x:c r="B14" s="41" t="n">
        <x:f>COUNTIF('案例主表'!$K$2:$K$61,A14)</x:f>
        <x:v>6</x:v>
      </x:c>
      <x:c r="C14" s="38"/>
      <x:c r="D14" s="38"/>
      <x:c r="E14" s="38"/>
      <x:c r="F14" s="38"/>
      <x:c r="G14" s="38"/>
      <x:c r="H14" s="38"/>
    </x:row>
    <x:row r="15">
      <x:c r="A15" s="41" t="str">
        <x:v>两房两厅</x:v>
      </x:c>
      <x:c r="B15" s="41" t="n">
        <x:f>COUNTIF('案例主表'!$K$2:$K$61,A15)</x:f>
        <x:v>17</x:v>
      </x:c>
      <x:c r="C15" s="38"/>
      <x:c r="D15" s="38"/>
      <x:c r="E15" s="38"/>
      <x:c r="F15" s="38"/>
      <x:c r="G15" s="38"/>
      <x:c r="H15" s="38"/>
    </x:row>
    <x:row r="16">
      <x:c r="A16" s="41" t="str">
        <x:v>三房两厅</x:v>
      </x:c>
      <x:c r="B16" s="41" t="n">
        <x:f>COUNTIF('案例主表'!$K$2:$K$61,A16)</x:f>
        <x:v>27</x:v>
      </x:c>
      <x:c r="C16" s="38"/>
      <x:c r="D16" s="38"/>
      <x:c r="E16" s="38"/>
      <x:c r="F16" s="38"/>
      <x:c r="G16" s="38"/>
      <x:c r="H16" s="38"/>
    </x:row>
    <x:row r="17">
      <x:c r="A17" s="41" t="str">
        <x:v>四房两厅</x:v>
      </x:c>
      <x:c r="B17" s="41" t="n">
        <x:f>COUNTIF('案例主表'!$K$2:$K$61,A17)</x:f>
        <x:v>10</x:v>
      </x:c>
      <x:c r="C17" s="38"/>
      <x:c r="D17" s="38"/>
      <x:c r="E17" s="38"/>
      <x:c r="F17" s="38"/>
      <x:c r="G17" s="38"/>
      <x:c r="H17" s="38"/>
    </x:row>
    <x:row r="18">
      <x:c r="A18" s="38"/>
      <x:c r="B18" s="38"/>
      <x:c r="C18" s="38"/>
      <x:c r="D18" s="38"/>
      <x:c r="E18" s="38"/>
      <x:c r="F18" s="38"/>
      <x:c r="G18" s="38"/>
      <x:c r="H18" s="38"/>
    </x:row>
    <x:row r="19">
      <x:c r="A19" s="38"/>
      <x:c r="B19" s="38"/>
      <x:c r="C19" s="38"/>
      <x:c r="D19" s="38"/>
      <x:c r="E19" s="38"/>
      <x:c r="F19" s="38"/>
      <x:c r="G19" s="38"/>
      <x:c r="H19" s="38"/>
    </x:row>
    <x:row r="20">
      <x:c r="A20" s="39" t="str">
        <x:v>预算档（模拟总预算）</x:v>
      </x:c>
      <x:c r="B20" s="40" t="str">
        <x:v>数量</x:v>
      </x:c>
      <x:c r="C20" s="38"/>
      <x:c r="D20" s="38"/>
      <x:c r="E20" s="38"/>
      <x:c r="F20" s="38"/>
      <x:c r="G20" s="38"/>
      <x:c r="H20" s="38"/>
    </x:row>
    <x:row r="21">
      <x:c r="A21" s="41" t="str">
        <x:v>10万元以下</x:v>
      </x:c>
      <x:c r="B21" s="41" t="n">
        <x:f>COUNTIF('案例主表'!$U$2:$U$61,"&lt;100000")</x:f>
        <x:v>2</x:v>
      </x:c>
      <x:c r="C21" s="38"/>
      <x:c r="D21" s="38"/>
      <x:c r="E21" s="38"/>
      <x:c r="F21" s="38"/>
      <x:c r="G21" s="38"/>
      <x:c r="H21" s="38"/>
    </x:row>
    <x:row r="22">
      <x:c r="A22" s="41" t="str">
        <x:v>10-15万元</x:v>
      </x:c>
      <x:c r="B22" s="41" t="n">
        <x:f>COUNTIFS('案例主表'!$U$2:$U$61,"&gt;=100000",'案例主表'!$U$2:$U$61,"&lt;150000")</x:f>
        <x:v>5</x:v>
      </x:c>
      <x:c r="C22" s="38"/>
      <x:c r="D22" s="38"/>
      <x:c r="E22" s="38"/>
      <x:c r="F22" s="38"/>
      <x:c r="G22" s="38"/>
      <x:c r="H22" s="38"/>
    </x:row>
    <x:row r="23">
      <x:c r="A23" s="41" t="str">
        <x:v>15-20万元</x:v>
      </x:c>
      <x:c r="B23" s="41" t="n">
        <x:f>COUNTIFS('案例主表'!$U$2:$U$61,"&gt;=150000",'案例主表'!$U$2:$U$61,"&lt;200000")</x:f>
        <x:v>16</x:v>
      </x:c>
      <x:c r="C23" s="38"/>
      <x:c r="D23" s="38"/>
      <x:c r="E23" s="38"/>
      <x:c r="F23" s="38"/>
      <x:c r="G23" s="38"/>
      <x:c r="H23" s="38"/>
    </x:row>
    <x:row r="24">
      <x:c r="A24" s="41" t="str">
        <x:v>20-25万元</x:v>
      </x:c>
      <x:c r="B24" s="41" t="n">
        <x:f>COUNTIFS('案例主表'!$U$2:$U$61,"&gt;=200000",'案例主表'!$U$2:$U$61,"&lt;250000")</x:f>
        <x:v>21</x:v>
      </x:c>
      <x:c r="C24" s="38"/>
      <x:c r="D24" s="38"/>
      <x:c r="E24" s="38"/>
      <x:c r="F24" s="38"/>
      <x:c r="G24" s="38"/>
      <x:c r="H24" s="38"/>
    </x:row>
    <x:row r="25">
      <x:c r="A25" s="41" t="str">
        <x:v>25-30万元</x:v>
      </x:c>
      <x:c r="B25" s="41" t="n">
        <x:f>COUNTIFS('案例主表'!$U$2:$U$61,"&gt;=250000",'案例主表'!$U$2:$U$61,"&lt;300000")</x:f>
        <x:v>9</x:v>
      </x:c>
      <x:c r="C25" s="38"/>
      <x:c r="D25" s="38"/>
      <x:c r="E25" s="38"/>
      <x:c r="F25" s="38"/>
      <x:c r="G25" s="38"/>
      <x:c r="H25" s="38"/>
    </x:row>
    <x:row r="26">
      <x:c r="A26" s="41" t="str">
        <x:v>30万元以上</x:v>
      </x:c>
      <x:c r="B26" s="41" t="n">
        <x:f>COUNTIF('案例主表'!$U$2:$U$61,"&gt;=300000")</x:f>
        <x:v>7</x:v>
      </x:c>
      <x:c r="C26" s="38"/>
      <x:c r="D26" s="38"/>
      <x:c r="E26" s="38"/>
      <x:c r="F26" s="38"/>
      <x:c r="G26" s="38"/>
      <x:c r="H26" s="38"/>
    </x:row>
    <x:row r="27">
      <x:c r="A27" s="38"/>
      <x:c r="B27" s="38"/>
      <x:c r="C27" s="38"/>
      <x:c r="D27" s="38"/>
      <x:c r="E27" s="38"/>
      <x:c r="F27" s="38"/>
      <x:c r="G27" s="38"/>
      <x:c r="H27" s="38"/>
    </x:row>
    <x:row r="28">
      <x:c r="A28" s="38"/>
      <x:c r="B28" s="38"/>
      <x:c r="C28" s="38"/>
      <x:c r="D28" s="38"/>
      <x:c r="E28" s="38"/>
      <x:c r="F28" s="38"/>
      <x:c r="G28" s="38"/>
      <x:c r="H28" s="38"/>
    </x:row>
    <x:row r="29">
      <x:c r="A29" s="39" t="str">
        <x:v>家庭结构</x:v>
      </x:c>
      <x:c r="B29" s="40" t="str">
        <x:v>数量</x:v>
      </x:c>
      <x:c r="C29" s="38"/>
      <x:c r="D29" s="38"/>
      <x:c r="E29" s="38"/>
      <x:c r="F29" s="38"/>
      <x:c r="G29" s="38"/>
      <x:c r="H29" s="38"/>
    </x:row>
    <x:row r="30">
      <x:c r="A30" s="41" t="str">
        <x:v>单身+宠物</x:v>
      </x:c>
      <x:c r="B30" s="41" t="n">
        <x:f>COUNTIF('案例主表'!$V$2:$V$61,A30)</x:f>
        <x:v>3</x:v>
      </x:c>
      <x:c r="C30" s="38"/>
      <x:c r="D30" s="38"/>
      <x:c r="E30" s="38"/>
      <x:c r="F30" s="38"/>
      <x:c r="G30" s="38"/>
      <x:c r="H30" s="38"/>
    </x:row>
    <x:row r="31">
      <x:c r="A31" s="41" t="str">
        <x:v>新婚夫妻</x:v>
      </x:c>
      <x:c r="B31" s="41" t="n">
        <x:f>COUNTIF('案例主表'!$V$2:$V$61,A31)</x:f>
        <x:v>10</x:v>
      </x:c>
      <x:c r="C31" s="38"/>
      <x:c r="D31" s="38"/>
      <x:c r="E31" s="38"/>
      <x:c r="F31" s="38"/>
      <x:c r="G31" s="38"/>
      <x:c r="H31" s="38"/>
    </x:row>
    <x:row r="32">
      <x:c r="A32" s="41" t="str">
        <x:v>夫妻+宠物</x:v>
      </x:c>
      <x:c r="B32" s="41" t="n">
        <x:f>COUNTIF('案例主表'!$V$2:$V$61,A32)</x:f>
        <x:v>5</x:v>
      </x:c>
      <x:c r="C32" s="38"/>
      <x:c r="D32" s="38"/>
      <x:c r="E32" s="38"/>
      <x:c r="F32" s="38"/>
      <x:c r="G32" s="38"/>
      <x:c r="H32" s="38"/>
    </x:row>
    <x:row r="33">
      <x:c r="A33" s="41" t="str">
        <x:v>夫妻+1名儿童</x:v>
      </x:c>
      <x:c r="B33" s="41" t="n">
        <x:f>COUNTIF('案例主表'!$V$2:$V$61,A33)</x:f>
        <x:v>15</x:v>
      </x:c>
      <x:c r="C33" s="38"/>
      <x:c r="D33" s="38"/>
      <x:c r="E33" s="38"/>
      <x:c r="F33" s="38"/>
      <x:c r="G33" s="38"/>
      <x:c r="H33" s="38"/>
    </x:row>
    <x:row r="34">
      <x:c r="A34" s="41" t="str">
        <x:v>夫妻+2名儿童</x:v>
      </x:c>
      <x:c r="B34" s="41" t="n">
        <x:f>COUNTIF('案例主表'!$V$2:$V$61,A34)</x:f>
        <x:v>7</x:v>
      </x:c>
      <x:c r="C34" s="38"/>
      <x:c r="D34" s="38"/>
      <x:c r="E34" s="38"/>
      <x:c r="F34" s="38"/>
      <x:c r="G34" s="38"/>
      <x:c r="H34" s="38"/>
    </x:row>
    <x:row r="35">
      <x:c r="A35" s="41" t="str">
        <x:v>夫妻+老人</x:v>
      </x:c>
      <x:c r="B35" s="41" t="n">
        <x:f>COUNTIF('案例主表'!$V$2:$V$61,A35)</x:f>
        <x:v>10</x:v>
      </x:c>
      <x:c r="C35" s="38"/>
      <x:c r="D35" s="38"/>
      <x:c r="E35" s="38"/>
      <x:c r="F35" s="38"/>
      <x:c r="G35" s="38"/>
      <x:c r="H35" s="38"/>
    </x:row>
    <x:row r="36">
      <x:c r="A36" s="41" t="str">
        <x:v>三代同堂</x:v>
      </x:c>
      <x:c r="B36" s="41" t="n">
        <x:f>COUNTIF('案例主表'!$V$2:$V$61,A36)</x:f>
        <x:v>10</x:v>
      </x:c>
      <x:c r="C36" s="38"/>
      <x:c r="D36" s="38"/>
      <x:c r="E36" s="38"/>
      <x:c r="F36" s="38"/>
      <x:c r="G36" s="38"/>
      <x:c r="H36" s="38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25a093cb642544d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0" hidden="0" customWidth="1"/>
  </x:cols>
  <x:sheetData>
    <x:row r="1">
      <x:c r="A1" s="4" t="str">
        <x:v>case_sku_id</x:v>
      </x:c>
      <x:c r="B1" s="4" t="str">
        <x:v>case_id</x:v>
      </x:c>
      <x:c r="C1" s="4" t="str">
        <x:v>category</x:v>
      </x:c>
      <x:c r="D1" s="4" t="str">
        <x:v>sku_code</x:v>
      </x:c>
      <x:c r="E1" s="4" t="str">
        <x:v>product_name</x:v>
      </x:c>
      <x:c r="F1" s="4" t="str">
        <x:v>quantity</x:v>
      </x:c>
      <x:c r="G1" s="4" t="str">
        <x:v>unit_price</x:v>
      </x:c>
      <x:c r="H1" s="4" t="str">
        <x:v>line_total</x:v>
      </x:c>
      <x:c r="I1" s="4" t="str">
        <x:v>delivery_days</x:v>
      </x:c>
      <x:c r="J1" s="4" t="str">
        <x:v>simulated</x:v>
      </x:c>
      <x:c r="K1" s="4" t="str">
        <x:v>simulation_note</x:v>
      </x:c>
    </x:row>
    <x:row r="2">
      <x:c r="A2" t="str">
        <x:v>OP-PUB-001-SKU-1</x:v>
      </x:c>
      <x:c r="B2" t="str">
        <x:v>OP-PUB-001</x:v>
      </x:c>
      <x:c r="C2" t="str">
        <x:v>玄关柜</x:v>
      </x:c>
      <x:c r="D2" t="str">
        <x:v>DEMO-001-1</x:v>
      </x:c>
      <x:c r="E2" t="str">
        <x:v>现代原木玄关柜演示款</x:v>
      </x:c>
      <x:c r="F2" t="n">
        <x:v>1</x:v>
      </x:c>
      <x:c r="G2" s="28" t="n">
        <x:v>12000</x:v>
      </x:c>
      <x:c r="H2" s="28" t="n">
        <x:f>F2*G2</x:f>
        <x:v>12000</x:v>
      </x:c>
      <x:c r="I2" t="n">
        <x:v>35</x:v>
      </x:c>
      <x:c r="J2" s="1" t="b">
        <x:v>1</x:v>
      </x:c>
      <x:c r="K2" t="str">
        <x:v>AI虚构SKU；不可询价、下单或映射真实欧派产品</x:v>
      </x:c>
    </x:row>
    <x:row r="3">
      <x:c r="A3" t="str">
        <x:v>OP-PUB-001-SKU-2</x:v>
      </x:c>
      <x:c r="B3" t="str">
        <x:v>OP-PUB-001</x:v>
      </x:c>
      <x:c r="C3" t="str">
        <x:v>电视柜</x:v>
      </x:c>
      <x:c r="D3" t="str">
        <x:v>DEMO-001-2</x:v>
      </x:c>
      <x:c r="E3" t="str">
        <x:v>现代原木电视柜演示款</x:v>
      </x:c>
      <x:c r="F3" t="n">
        <x:v>1</x:v>
      </x:c>
      <x:c r="G3" s="28" t="n">
        <x:v>16000</x:v>
      </x:c>
      <x:c r="H3" s="28" t="n">
        <x:f>F3*G3</x:f>
        <x:v>16000</x:v>
      </x:c>
      <x:c r="I3" t="n">
        <x:v>42</x:v>
      </x:c>
      <x:c r="J3" s="1" t="b">
        <x:v>1</x:v>
      </x:c>
      <x:c r="K3" t="str">
        <x:v>AI虚构SKU；不可询价、下单或映射真实欧派产品</x:v>
      </x:c>
    </x:row>
    <x:row r="4">
      <x:c r="A4" t="str">
        <x:v>OP-PUB-001-SKU-3</x:v>
      </x:c>
      <x:c r="B4" t="str">
        <x:v>OP-PUB-001</x:v>
      </x:c>
      <x:c r="C4" t="str">
        <x:v>餐边柜</x:v>
      </x:c>
      <x:c r="D4" t="str">
        <x:v>DEMO-001-3</x:v>
      </x:c>
      <x:c r="E4" t="str">
        <x:v>现代原木餐边柜演示款</x:v>
      </x:c>
      <x:c r="F4" t="n">
        <x:v>1</x:v>
      </x:c>
      <x:c r="G4" s="28" t="n">
        <x:v>19000</x:v>
      </x:c>
      <x:c r="H4" s="28" t="n">
        <x:f>F4*G4</x:f>
        <x:v>19000</x:v>
      </x:c>
      <x:c r="I4" t="n">
        <x:v>49</x:v>
      </x:c>
      <x:c r="J4" s="1" t="b">
        <x:v>1</x:v>
      </x:c>
      <x:c r="K4" t="str">
        <x:v>AI虚构SKU；不可询价、下单或映射真实欧派产品</x:v>
      </x:c>
    </x:row>
    <x:row r="5">
      <x:c r="A5" t="str">
        <x:v>OP-PUB-001-SKU-4</x:v>
      </x:c>
      <x:c r="B5" t="str">
        <x:v>OP-PUB-001</x:v>
      </x:c>
      <x:c r="C5" t="str">
        <x:v>衣柜</x:v>
      </x:c>
      <x:c r="D5" t="str">
        <x:v>DEMO-001-4</x:v>
      </x:c>
      <x:c r="E5" t="str">
        <x:v>现代原木衣柜演示款</x:v>
      </x:c>
      <x:c r="F5" t="n">
        <x:v>1</x:v>
      </x:c>
      <x:c r="G5" s="28" t="n">
        <x:v>23000</x:v>
      </x:c>
      <x:c r="H5" s="28" t="n">
        <x:f>F5*G5</x:f>
        <x:v>23000</x:v>
      </x:c>
      <x:c r="I5" t="n">
        <x:v>56</x:v>
      </x:c>
      <x:c r="J5" s="1" t="b">
        <x:v>1</x:v>
      </x:c>
      <x:c r="K5" t="str">
        <x:v>AI虚构SKU；不可询价、下单或映射真实欧派产品</x:v>
      </x:c>
    </x:row>
    <x:row r="6">
      <x:c r="A6" t="str">
        <x:v>OP-PUB-002-SKU-1</x:v>
      </x:c>
      <x:c r="B6" t="str">
        <x:v>OP-PUB-002</x:v>
      </x:c>
      <x:c r="C6" t="str">
        <x:v>玄关柜</x:v>
      </x:c>
      <x:c r="D6" t="str">
        <x:v>DEMO-002-1</x:v>
      </x:c>
      <x:c r="E6" t="str">
        <x:v>现代轻奢玄关柜演示款</x:v>
      </x:c>
      <x:c r="F6" t="n">
        <x:v>1</x:v>
      </x:c>
      <x:c r="G6" s="28" t="n">
        <x:v>13000</x:v>
      </x:c>
      <x:c r="H6" s="28" t="n">
        <x:f>F6*G6</x:f>
        <x:v>13000</x:v>
      </x:c>
      <x:c r="I6" t="n">
        <x:v>42</x:v>
      </x:c>
      <x:c r="J6" s="1" t="b">
        <x:v>1</x:v>
      </x:c>
      <x:c r="K6" t="str">
        <x:v>AI虚构SKU；不可询价、下单或映射真实欧派产品</x:v>
      </x:c>
    </x:row>
    <x:row r="7">
      <x:c r="A7" t="str">
        <x:v>OP-PUB-002-SKU-2</x:v>
      </x:c>
      <x:c r="B7" t="str">
        <x:v>OP-PUB-002</x:v>
      </x:c>
      <x:c r="C7" t="str">
        <x:v>电视柜</x:v>
      </x:c>
      <x:c r="D7" t="str">
        <x:v>DEMO-002-2</x:v>
      </x:c>
      <x:c r="E7" t="str">
        <x:v>现代轻奢电视柜演示款</x:v>
      </x:c>
      <x:c r="F7" t="n">
        <x:v>1</x:v>
      </x:c>
      <x:c r="G7" s="28" t="n">
        <x:v>16000</x:v>
      </x:c>
      <x:c r="H7" s="28" t="n">
        <x:f>F7*G7</x:f>
        <x:v>16000</x:v>
      </x:c>
      <x:c r="I7" t="n">
        <x:v>49</x:v>
      </x:c>
      <x:c r="J7" s="1" t="b">
        <x:v>1</x:v>
      </x:c>
      <x:c r="K7" t="str">
        <x:v>AI虚构SKU；不可询价、下单或映射真实欧派产品</x:v>
      </x:c>
    </x:row>
    <x:row r="8">
      <x:c r="A8" t="str">
        <x:v>OP-PUB-002-SKU-3</x:v>
      </x:c>
      <x:c r="B8" t="str">
        <x:v>OP-PUB-002</x:v>
      </x:c>
      <x:c r="C8" t="str">
        <x:v>餐边柜</x:v>
      </x:c>
      <x:c r="D8" t="str">
        <x:v>DEMO-002-3</x:v>
      </x:c>
      <x:c r="E8" t="str">
        <x:v>现代轻奢餐边柜演示款</x:v>
      </x:c>
      <x:c r="F8" t="n">
        <x:v>1</x:v>
      </x:c>
      <x:c r="G8" s="28" t="n">
        <x:v>20000</x:v>
      </x:c>
      <x:c r="H8" s="28" t="n">
        <x:f>F8*G8</x:f>
        <x:v>20000</x:v>
      </x:c>
      <x:c r="I8" t="n">
        <x:v>56</x:v>
      </x:c>
      <x:c r="J8" s="1" t="b">
        <x:v>1</x:v>
      </x:c>
      <x:c r="K8" t="str">
        <x:v>AI虚构SKU；不可询价、下单或映射真实欧派产品</x:v>
      </x:c>
    </x:row>
    <x:row r="9">
      <x:c r="A9" t="str">
        <x:v>OP-PUB-002-SKU-4</x:v>
      </x:c>
      <x:c r="B9" t="str">
        <x:v>OP-PUB-002</x:v>
      </x:c>
      <x:c r="C9" t="str">
        <x:v>衣柜</x:v>
      </x:c>
      <x:c r="D9" t="str">
        <x:v>DEMO-002-4</x:v>
      </x:c>
      <x:c r="E9" t="str">
        <x:v>现代轻奢衣柜演示款</x:v>
      </x:c>
      <x:c r="F9" t="n">
        <x:v>1</x:v>
      </x:c>
      <x:c r="G9" s="28" t="n">
        <x:v>24000</x:v>
      </x:c>
      <x:c r="H9" s="28" t="n">
        <x:f>F9*G9</x:f>
        <x:v>24000</x:v>
      </x:c>
      <x:c r="I9" t="n">
        <x:v>63</x:v>
      </x:c>
      <x:c r="J9" s="1" t="b">
        <x:v>1</x:v>
      </x:c>
      <x:c r="K9" t="str">
        <x:v>AI虚构SKU；不可询价、下单或映射真实欧派产品</x:v>
      </x:c>
    </x:row>
    <x:row r="10">
      <x:c r="A10" t="str">
        <x:v>OP-PUB-003-SKU-1</x:v>
      </x:c>
      <x:c r="B10" t="str">
        <x:v>OP-PUB-003</x:v>
      </x:c>
      <x:c r="C10" t="str">
        <x:v>玄关柜</x:v>
      </x:c>
      <x:c r="D10" t="str">
        <x:v>DEMO-003-1</x:v>
      </x:c>
      <x:c r="E10" t="str">
        <x:v>新中式玄关柜演示款</x:v>
      </x:c>
      <x:c r="F10" t="n">
        <x:v>1</x:v>
      </x:c>
      <x:c r="G10" s="28" t="n">
        <x:v>13000</x:v>
      </x:c>
      <x:c r="H10" s="28" t="n">
        <x:f>F10*G10</x:f>
        <x:v>13000</x:v>
      </x:c>
      <x:c r="I10" t="n">
        <x:v>49</x:v>
      </x:c>
      <x:c r="J10" s="1" t="b">
        <x:v>1</x:v>
      </x:c>
      <x:c r="K10" t="str">
        <x:v>AI虚构SKU；不可询价、下单或映射真实欧派产品</x:v>
      </x:c>
    </x:row>
    <x:row r="11">
      <x:c r="A11" t="str">
        <x:v>OP-PUB-003-SKU-2</x:v>
      </x:c>
      <x:c r="B11" t="str">
        <x:v>OP-PUB-003</x:v>
      </x:c>
      <x:c r="C11" t="str">
        <x:v>电视柜</x:v>
      </x:c>
      <x:c r="D11" t="str">
        <x:v>DEMO-003-2</x:v>
      </x:c>
      <x:c r="E11" t="str">
        <x:v>新中式电视柜演示款</x:v>
      </x:c>
      <x:c r="F11" t="n">
        <x:v>1</x:v>
      </x:c>
      <x:c r="G11" s="28" t="n">
        <x:v>17000</x:v>
      </x:c>
      <x:c r="H11" s="28" t="n">
        <x:f>F11*G11</x:f>
        <x:v>17000</x:v>
      </x:c>
      <x:c r="I11" t="n">
        <x:v>56</x:v>
      </x:c>
      <x:c r="J11" s="1" t="b">
        <x:v>1</x:v>
      </x:c>
      <x:c r="K11" t="str">
        <x:v>AI虚构SKU；不可询价、下单或映射真实欧派产品</x:v>
      </x:c>
    </x:row>
    <x:row r="12">
      <x:c r="A12" t="str">
        <x:v>OP-PUB-003-SKU-3</x:v>
      </x:c>
      <x:c r="B12" t="str">
        <x:v>OP-PUB-003</x:v>
      </x:c>
      <x:c r="C12" t="str">
        <x:v>餐边柜</x:v>
      </x:c>
      <x:c r="D12" t="str">
        <x:v>DEMO-003-3</x:v>
      </x:c>
      <x:c r="E12" t="str">
        <x:v>新中式餐边柜演示款</x:v>
      </x:c>
      <x:c r="F12" t="n">
        <x:v>1</x:v>
      </x:c>
      <x:c r="G12" s="28" t="n">
        <x:v>21000</x:v>
      </x:c>
      <x:c r="H12" s="28" t="n">
        <x:f>F12*G12</x:f>
        <x:v>21000</x:v>
      </x:c>
      <x:c r="I12" t="n">
        <x:v>63</x:v>
      </x:c>
      <x:c r="J12" s="1" t="b">
        <x:v>1</x:v>
      </x:c>
      <x:c r="K12" t="str">
        <x:v>AI虚构SKU；不可询价、下单或映射真实欧派产品</x:v>
      </x:c>
    </x:row>
    <x:row r="13">
      <x:c r="A13" t="str">
        <x:v>OP-PUB-003-SKU-4</x:v>
      </x:c>
      <x:c r="B13" t="str">
        <x:v>OP-PUB-003</x:v>
      </x:c>
      <x:c r="C13" t="str">
        <x:v>衣柜</x:v>
      </x:c>
      <x:c r="D13" t="str">
        <x:v>DEMO-003-4</x:v>
      </x:c>
      <x:c r="E13" t="str">
        <x:v>新中式衣柜演示款</x:v>
      </x:c>
      <x:c r="F13" t="n">
        <x:v>1</x:v>
      </x:c>
      <x:c r="G13" s="28" t="n">
        <x:v>25000</x:v>
      </x:c>
      <x:c r="H13" s="28" t="n">
        <x:f>F13*G13</x:f>
        <x:v>25000</x:v>
      </x:c>
      <x:c r="I13" t="n">
        <x:v>70</x:v>
      </x:c>
      <x:c r="J13" s="1" t="b">
        <x:v>1</x:v>
      </x:c>
      <x:c r="K13" t="str">
        <x:v>AI虚构SKU；不可询价、下单或映射真实欧派产品</x:v>
      </x:c>
    </x:row>
    <x:row r="14">
      <x:c r="A14" t="str">
        <x:v>OP-PUB-004-SKU-1</x:v>
      </x:c>
      <x:c r="B14" t="str">
        <x:v>OP-PUB-004</x:v>
      </x:c>
      <x:c r="C14" t="str">
        <x:v>玄关柜</x:v>
      </x:c>
      <x:c r="D14" t="str">
        <x:v>DEMO-004-1</x:v>
      </x:c>
      <x:c r="E14" t="str">
        <x:v>现代轻奢玄关柜演示款</x:v>
      </x:c>
      <x:c r="F14" t="n">
        <x:v>1</x:v>
      </x:c>
      <x:c r="G14" s="28" t="n">
        <x:v>14000</x:v>
      </x:c>
      <x:c r="H14" s="28" t="n">
        <x:f>F14*G14</x:f>
        <x:v>14000</x:v>
      </x:c>
      <x:c r="I14" t="n">
        <x:v>56</x:v>
      </x:c>
      <x:c r="J14" s="1" t="b">
        <x:v>1</x:v>
      </x:c>
      <x:c r="K14" t="str">
        <x:v>AI虚构SKU；不可询价、下单或映射真实欧派产品</x:v>
      </x:c>
    </x:row>
    <x:row r="15">
      <x:c r="A15" t="str">
        <x:v>OP-PUB-004-SKU-2</x:v>
      </x:c>
      <x:c r="B15" t="str">
        <x:v>OP-PUB-004</x:v>
      </x:c>
      <x:c r="C15" t="str">
        <x:v>电视柜</x:v>
      </x:c>
      <x:c r="D15" t="str">
        <x:v>DEMO-004-2</x:v>
      </x:c>
      <x:c r="E15" t="str">
        <x:v>现代轻奢电视柜演示款</x:v>
      </x:c>
      <x:c r="F15" t="n">
        <x:v>1</x:v>
      </x:c>
      <x:c r="G15" s="28" t="n">
        <x:v>18000</x:v>
      </x:c>
      <x:c r="H15" s="28" t="n">
        <x:f>F15*G15</x:f>
        <x:v>18000</x:v>
      </x:c>
      <x:c r="I15" t="n">
        <x:v>63</x:v>
      </x:c>
      <x:c r="J15" s="1" t="b">
        <x:v>1</x:v>
      </x:c>
      <x:c r="K15" t="str">
        <x:v>AI虚构SKU；不可询价、下单或映射真实欧派产品</x:v>
      </x:c>
    </x:row>
    <x:row r="16">
      <x:c r="A16" t="str">
        <x:v>OP-PUB-004-SKU-3</x:v>
      </x:c>
      <x:c r="B16" t="str">
        <x:v>OP-PUB-004</x:v>
      </x:c>
      <x:c r="C16" t="str">
        <x:v>餐边柜</x:v>
      </x:c>
      <x:c r="D16" t="str">
        <x:v>DEMO-004-3</x:v>
      </x:c>
      <x:c r="E16" t="str">
        <x:v>现代轻奢餐边柜演示款</x:v>
      </x:c>
      <x:c r="F16" t="n">
        <x:v>1</x:v>
      </x:c>
      <x:c r="G16" s="28" t="n">
        <x:v>22000</x:v>
      </x:c>
      <x:c r="H16" s="28" t="n">
        <x:f>F16*G16</x:f>
        <x:v>22000</x:v>
      </x:c>
      <x:c r="I16" t="n">
        <x:v>70</x:v>
      </x:c>
      <x:c r="J16" s="1" t="b">
        <x:v>1</x:v>
      </x:c>
      <x:c r="K16" t="str">
        <x:v>AI虚构SKU；不可询价、下单或映射真实欧派产品</x:v>
      </x:c>
    </x:row>
    <x:row r="17">
      <x:c r="A17" t="str">
        <x:v>OP-PUB-004-SKU-4</x:v>
      </x:c>
      <x:c r="B17" t="str">
        <x:v>OP-PUB-004</x:v>
      </x:c>
      <x:c r="C17" t="str">
        <x:v>衣柜</x:v>
      </x:c>
      <x:c r="D17" t="str">
        <x:v>DEMO-004-4</x:v>
      </x:c>
      <x:c r="E17" t="str">
        <x:v>现代轻奢衣柜演示款</x:v>
      </x:c>
      <x:c r="F17" t="n">
        <x:v>1</x:v>
      </x:c>
      <x:c r="G17" s="28" t="n">
        <x:v>26000</x:v>
      </x:c>
      <x:c r="H17" s="28" t="n">
        <x:f>F17*G17</x:f>
        <x:v>26000</x:v>
      </x:c>
      <x:c r="I17" t="n">
        <x:v>35</x:v>
      </x:c>
      <x:c r="J17" s="1" t="b">
        <x:v>1</x:v>
      </x:c>
      <x:c r="K17" t="str">
        <x:v>AI虚构SKU；不可询价、下单或映射真实欧派产品</x:v>
      </x:c>
    </x:row>
    <x:row r="18">
      <x:c r="A18" t="str">
        <x:v>OP-PUB-005-SKU-1</x:v>
      </x:c>
      <x:c r="B18" t="str">
        <x:v>OP-PUB-005</x:v>
      </x:c>
      <x:c r="C18" t="str">
        <x:v>玄关柜</x:v>
      </x:c>
      <x:c r="D18" t="str">
        <x:v>DEMO-005-1</x:v>
      </x:c>
      <x:c r="E18" t="str">
        <x:v>现代简约玄关柜演示款</x:v>
      </x:c>
      <x:c r="F18" t="n">
        <x:v>1</x:v>
      </x:c>
      <x:c r="G18" s="28" t="n">
        <x:v>14000</x:v>
      </x:c>
      <x:c r="H18" s="28" t="n">
        <x:f>F18*G18</x:f>
        <x:v>14000</x:v>
      </x:c>
      <x:c r="I18" t="n">
        <x:v>63</x:v>
      </x:c>
      <x:c r="J18" s="1" t="b">
        <x:v>1</x:v>
      </x:c>
      <x:c r="K18" t="str">
        <x:v>AI虚构SKU；不可询价、下单或映射真实欧派产品</x:v>
      </x:c>
    </x:row>
    <x:row r="19">
      <x:c r="A19" t="str">
        <x:v>OP-PUB-005-SKU-2</x:v>
      </x:c>
      <x:c r="B19" t="str">
        <x:v>OP-PUB-005</x:v>
      </x:c>
      <x:c r="C19" t="str">
        <x:v>电视柜</x:v>
      </x:c>
      <x:c r="D19" t="str">
        <x:v>DEMO-005-2</x:v>
      </x:c>
      <x:c r="E19" t="str">
        <x:v>现代简约电视柜演示款</x:v>
      </x:c>
      <x:c r="F19" t="n">
        <x:v>1</x:v>
      </x:c>
      <x:c r="G19" s="28" t="n">
        <x:v>19000</x:v>
      </x:c>
      <x:c r="H19" s="28" t="n">
        <x:f>F19*G19</x:f>
        <x:v>19000</x:v>
      </x:c>
      <x:c r="I19" t="n">
        <x:v>70</x:v>
      </x:c>
      <x:c r="J19" s="1" t="b">
        <x:v>1</x:v>
      </x:c>
      <x:c r="K19" t="str">
        <x:v>AI虚构SKU；不可询价、下单或映射真实欧派产品</x:v>
      </x:c>
    </x:row>
    <x:row r="20">
      <x:c r="A20" t="str">
        <x:v>OP-PUB-005-SKU-3</x:v>
      </x:c>
      <x:c r="B20" t="str">
        <x:v>OP-PUB-005</x:v>
      </x:c>
      <x:c r="C20" t="str">
        <x:v>餐边柜</x:v>
      </x:c>
      <x:c r="D20" t="str">
        <x:v>DEMO-005-3</x:v>
      </x:c>
      <x:c r="E20" t="str">
        <x:v>现代简约餐边柜演示款</x:v>
      </x:c>
      <x:c r="F20" t="n">
        <x:v>1</x:v>
      </x:c>
      <x:c r="G20" s="28" t="n">
        <x:v>23000</x:v>
      </x:c>
      <x:c r="H20" s="28" t="n">
        <x:f>F20*G20</x:f>
        <x:v>23000</x:v>
      </x:c>
      <x:c r="I20" t="n">
        <x:v>35</x:v>
      </x:c>
      <x:c r="J20" s="1" t="b">
        <x:v>1</x:v>
      </x:c>
      <x:c r="K20" t="str">
        <x:v>AI虚构SKU；不可询价、下单或映射真实欧派产品</x:v>
      </x:c>
    </x:row>
    <x:row r="21">
      <x:c r="A21" t="str">
        <x:v>OP-PUB-005-SKU-4</x:v>
      </x:c>
      <x:c r="B21" t="str">
        <x:v>OP-PUB-005</x:v>
      </x:c>
      <x:c r="C21" t="str">
        <x:v>衣柜</x:v>
      </x:c>
      <x:c r="D21" t="str">
        <x:v>DEMO-005-4</x:v>
      </x:c>
      <x:c r="E21" t="str">
        <x:v>现代简约衣柜演示款</x:v>
      </x:c>
      <x:c r="F21" t="n">
        <x:v>1</x:v>
      </x:c>
      <x:c r="G21" s="28" t="n">
        <x:v>27000</x:v>
      </x:c>
      <x:c r="H21" s="28" t="n">
        <x:f>F21*G21</x:f>
        <x:v>27000</x:v>
      </x:c>
      <x:c r="I21" t="n">
        <x:v>42</x:v>
      </x:c>
      <x:c r="J21" s="1" t="b">
        <x:v>1</x:v>
      </x:c>
      <x:c r="K21" t="str">
        <x:v>AI虚构SKU；不可询价、下单或映射真实欧派产品</x:v>
      </x:c>
    </x:row>
    <x:row r="22">
      <x:c r="A22" t="str">
        <x:v>OP-PUB-006-SKU-1</x:v>
      </x:c>
      <x:c r="B22" t="str">
        <x:v>OP-PUB-006</x:v>
      </x:c>
      <x:c r="C22" t="str">
        <x:v>玄关柜</x:v>
      </x:c>
      <x:c r="D22" t="str">
        <x:v>DEMO-006-1</x:v>
      </x:c>
      <x:c r="E22" t="str">
        <x:v>现代简约玄关柜演示款</x:v>
      </x:c>
      <x:c r="F22" t="n">
        <x:v>1</x:v>
      </x:c>
      <x:c r="G22" s="28" t="n">
        <x:v>12000</x:v>
      </x:c>
      <x:c r="H22" s="28" t="n">
        <x:f>F22*G22</x:f>
        <x:v>12000</x:v>
      </x:c>
      <x:c r="I22" t="n">
        <x:v>70</x:v>
      </x:c>
      <x:c r="J22" s="1" t="b">
        <x:v>1</x:v>
      </x:c>
      <x:c r="K22" t="str">
        <x:v>AI虚构SKU；不可询价、下单或映射真实欧派产品</x:v>
      </x:c>
    </x:row>
    <x:row r="23">
      <x:c r="A23" t="str">
        <x:v>OP-PUB-006-SKU-2</x:v>
      </x:c>
      <x:c r="B23" t="str">
        <x:v>OP-PUB-006</x:v>
      </x:c>
      <x:c r="C23" t="str">
        <x:v>电视柜</x:v>
      </x:c>
      <x:c r="D23" t="str">
        <x:v>DEMO-006-2</x:v>
      </x:c>
      <x:c r="E23" t="str">
        <x:v>现代简约电视柜演示款</x:v>
      </x:c>
      <x:c r="F23" t="n">
        <x:v>1</x:v>
      </x:c>
      <x:c r="G23" s="28" t="n">
        <x:v>16000</x:v>
      </x:c>
      <x:c r="H23" s="28" t="n">
        <x:f>F23*G23</x:f>
        <x:v>16000</x:v>
      </x:c>
      <x:c r="I23" t="n">
        <x:v>35</x:v>
      </x:c>
      <x:c r="J23" s="1" t="b">
        <x:v>1</x:v>
      </x:c>
      <x:c r="K23" t="str">
        <x:v>AI虚构SKU；不可询价、下单或映射真实欧派产品</x:v>
      </x:c>
    </x:row>
    <x:row r="24">
      <x:c r="A24" t="str">
        <x:v>OP-PUB-006-SKU-3</x:v>
      </x:c>
      <x:c r="B24" t="str">
        <x:v>OP-PUB-006</x:v>
      </x:c>
      <x:c r="C24" t="str">
        <x:v>餐边柜</x:v>
      </x:c>
      <x:c r="D24" t="str">
        <x:v>DEMO-006-3</x:v>
      </x:c>
      <x:c r="E24" t="str">
        <x:v>现代简约餐边柜演示款</x:v>
      </x:c>
      <x:c r="F24" t="n">
        <x:v>1</x:v>
      </x:c>
      <x:c r="G24" s="28" t="n">
        <x:v>19000</x:v>
      </x:c>
      <x:c r="H24" s="28" t="n">
        <x:f>F24*G24</x:f>
        <x:v>19000</x:v>
      </x:c>
      <x:c r="I24" t="n">
        <x:v>42</x:v>
      </x:c>
      <x:c r="J24" s="1" t="b">
        <x:v>1</x:v>
      </x:c>
      <x:c r="K24" t="str">
        <x:v>AI虚构SKU；不可询价、下单或映射真实欧派产品</x:v>
      </x:c>
    </x:row>
    <x:row r="25">
      <x:c r="A25" t="str">
        <x:v>OP-PUB-006-SKU-4</x:v>
      </x:c>
      <x:c r="B25" t="str">
        <x:v>OP-PUB-006</x:v>
      </x:c>
      <x:c r="C25" t="str">
        <x:v>衣柜</x:v>
      </x:c>
      <x:c r="D25" t="str">
        <x:v>DEMO-006-4</x:v>
      </x:c>
      <x:c r="E25" t="str">
        <x:v>现代简约衣柜演示款</x:v>
      </x:c>
      <x:c r="F25" t="n">
        <x:v>1</x:v>
      </x:c>
      <x:c r="G25" s="28" t="n">
        <x:v>23000</x:v>
      </x:c>
      <x:c r="H25" s="28" t="n">
        <x:f>F25*G25</x:f>
        <x:v>23000</x:v>
      </x:c>
      <x:c r="I25" t="n">
        <x:v>49</x:v>
      </x:c>
      <x:c r="J25" s="1" t="b">
        <x:v>1</x:v>
      </x:c>
      <x:c r="K25" t="str">
        <x:v>AI虚构SKU；不可询价、下单或映射真实欧派产品</x:v>
      </x:c>
    </x:row>
    <x:row r="26">
      <x:c r="A26" t="str">
        <x:v>OP-PUB-007-SKU-1</x:v>
      </x:c>
      <x:c r="B26" t="str">
        <x:v>OP-PUB-007</x:v>
      </x:c>
      <x:c r="C26" t="str">
        <x:v>玄关柜</x:v>
      </x:c>
      <x:c r="D26" t="str">
        <x:v>DEMO-007-1</x:v>
      </x:c>
      <x:c r="E26" t="str">
        <x:v>混合玄关柜演示款</x:v>
      </x:c>
      <x:c r="F26" t="n">
        <x:v>1</x:v>
      </x:c>
      <x:c r="G26" s="28" t="n">
        <x:v>13000</x:v>
      </x:c>
      <x:c r="H26" s="28" t="n">
        <x:f>F26*G26</x:f>
        <x:v>13000</x:v>
      </x:c>
      <x:c r="I26" t="n">
        <x:v>35</x:v>
      </x:c>
      <x:c r="J26" s="1" t="b">
        <x:v>1</x:v>
      </x:c>
      <x:c r="K26" t="str">
        <x:v>AI虚构SKU；不可询价、下单或映射真实欧派产品</x:v>
      </x:c>
    </x:row>
    <x:row r="27">
      <x:c r="A27" t="str">
        <x:v>OP-PUB-007-SKU-2</x:v>
      </x:c>
      <x:c r="B27" t="str">
        <x:v>OP-PUB-007</x:v>
      </x:c>
      <x:c r="C27" t="str">
        <x:v>电视柜</x:v>
      </x:c>
      <x:c r="D27" t="str">
        <x:v>DEMO-007-2</x:v>
      </x:c>
      <x:c r="E27" t="str">
        <x:v>混合电视柜演示款</x:v>
      </x:c>
      <x:c r="F27" t="n">
        <x:v>1</x:v>
      </x:c>
      <x:c r="G27" s="28" t="n">
        <x:v>16000</x:v>
      </x:c>
      <x:c r="H27" s="28" t="n">
        <x:f>F27*G27</x:f>
        <x:v>16000</x:v>
      </x:c>
      <x:c r="I27" t="n">
        <x:v>42</x:v>
      </x:c>
      <x:c r="J27" s="1" t="b">
        <x:v>1</x:v>
      </x:c>
      <x:c r="K27" t="str">
        <x:v>AI虚构SKU；不可询价、下单或映射真实欧派产品</x:v>
      </x:c>
    </x:row>
    <x:row r="28">
      <x:c r="A28" t="str">
        <x:v>OP-PUB-007-SKU-3</x:v>
      </x:c>
      <x:c r="B28" t="str">
        <x:v>OP-PUB-007</x:v>
      </x:c>
      <x:c r="C28" t="str">
        <x:v>餐边柜</x:v>
      </x:c>
      <x:c r="D28" t="str">
        <x:v>DEMO-007-3</x:v>
      </x:c>
      <x:c r="E28" t="str">
        <x:v>混合餐边柜演示款</x:v>
      </x:c>
      <x:c r="F28" t="n">
        <x:v>1</x:v>
      </x:c>
      <x:c r="G28" s="28" t="n">
        <x:v>20000</x:v>
      </x:c>
      <x:c r="H28" s="28" t="n">
        <x:f>F28*G28</x:f>
        <x:v>20000</x:v>
      </x:c>
      <x:c r="I28" t="n">
        <x:v>49</x:v>
      </x:c>
      <x:c r="J28" s="1" t="b">
        <x:v>1</x:v>
      </x:c>
      <x:c r="K28" t="str">
        <x:v>AI虚构SKU；不可询价、下单或映射真实欧派产品</x:v>
      </x:c>
    </x:row>
    <x:row r="29">
      <x:c r="A29" t="str">
        <x:v>OP-PUB-007-SKU-4</x:v>
      </x:c>
      <x:c r="B29" t="str">
        <x:v>OP-PUB-007</x:v>
      </x:c>
      <x:c r="C29" t="str">
        <x:v>衣柜</x:v>
      </x:c>
      <x:c r="D29" t="str">
        <x:v>DEMO-007-4</x:v>
      </x:c>
      <x:c r="E29" t="str">
        <x:v>混合衣柜演示款</x:v>
      </x:c>
      <x:c r="F29" t="n">
        <x:v>1</x:v>
      </x:c>
      <x:c r="G29" s="28" t="n">
        <x:v>24000</x:v>
      </x:c>
      <x:c r="H29" s="28" t="n">
        <x:f>F29*G29</x:f>
        <x:v>24000</x:v>
      </x:c>
      <x:c r="I29" t="n">
        <x:v>56</x:v>
      </x:c>
      <x:c r="J29" s="1" t="b">
        <x:v>1</x:v>
      </x:c>
      <x:c r="K29" t="str">
        <x:v>AI虚构SKU；不可询价、下单或映射真实欧派产品</x:v>
      </x:c>
    </x:row>
    <x:row r="30">
      <x:c r="A30" t="str">
        <x:v>OP-PUB-008-SKU-1</x:v>
      </x:c>
      <x:c r="B30" t="str">
        <x:v>OP-PUB-008</x:v>
      </x:c>
      <x:c r="C30" t="str">
        <x:v>玄关柜</x:v>
      </x:c>
      <x:c r="D30" t="str">
        <x:v>DEMO-008-1</x:v>
      </x:c>
      <x:c r="E30" t="str">
        <x:v>现代简约玄关柜演示款</x:v>
      </x:c>
      <x:c r="F30" t="n">
        <x:v>1</x:v>
      </x:c>
      <x:c r="G30" s="28" t="n">
        <x:v>13000</x:v>
      </x:c>
      <x:c r="H30" s="28" t="n">
        <x:f>F30*G30</x:f>
        <x:v>13000</x:v>
      </x:c>
      <x:c r="I30" t="n">
        <x:v>42</x:v>
      </x:c>
      <x:c r="J30" s="1" t="b">
        <x:v>1</x:v>
      </x:c>
      <x:c r="K30" t="str">
        <x:v>AI虚构SKU；不可询价、下单或映射真实欧派产品</x:v>
      </x:c>
    </x:row>
    <x:row r="31">
      <x:c r="A31" t="str">
        <x:v>OP-PUB-008-SKU-2</x:v>
      </x:c>
      <x:c r="B31" t="str">
        <x:v>OP-PUB-008</x:v>
      </x:c>
      <x:c r="C31" t="str">
        <x:v>电视柜</x:v>
      </x:c>
      <x:c r="D31" t="str">
        <x:v>DEMO-008-2</x:v>
      </x:c>
      <x:c r="E31" t="str">
        <x:v>现代简约电视柜演示款</x:v>
      </x:c>
      <x:c r="F31" t="n">
        <x:v>1</x:v>
      </x:c>
      <x:c r="G31" s="28" t="n">
        <x:v>17000</x:v>
      </x:c>
      <x:c r="H31" s="28" t="n">
        <x:f>F31*G31</x:f>
        <x:v>17000</x:v>
      </x:c>
      <x:c r="I31" t="n">
        <x:v>49</x:v>
      </x:c>
      <x:c r="J31" s="1" t="b">
        <x:v>1</x:v>
      </x:c>
      <x:c r="K31" t="str">
        <x:v>AI虚构SKU；不可询价、下单或映射真实欧派产品</x:v>
      </x:c>
    </x:row>
    <x:row r="32">
      <x:c r="A32" t="str">
        <x:v>OP-PUB-008-SKU-3</x:v>
      </x:c>
      <x:c r="B32" t="str">
        <x:v>OP-PUB-008</x:v>
      </x:c>
      <x:c r="C32" t="str">
        <x:v>餐边柜</x:v>
      </x:c>
      <x:c r="D32" t="str">
        <x:v>DEMO-008-3</x:v>
      </x:c>
      <x:c r="E32" t="str">
        <x:v>现代简约餐边柜演示款</x:v>
      </x:c>
      <x:c r="F32" t="n">
        <x:v>1</x:v>
      </x:c>
      <x:c r="G32" s="28" t="n">
        <x:v>21000</x:v>
      </x:c>
      <x:c r="H32" s="28" t="n">
        <x:f>F32*G32</x:f>
        <x:v>21000</x:v>
      </x:c>
      <x:c r="I32" t="n">
        <x:v>56</x:v>
      </x:c>
      <x:c r="J32" s="1" t="b">
        <x:v>1</x:v>
      </x:c>
      <x:c r="K32" t="str">
        <x:v>AI虚构SKU；不可询价、下单或映射真实欧派产品</x:v>
      </x:c>
    </x:row>
    <x:row r="33">
      <x:c r="A33" t="str">
        <x:v>OP-PUB-008-SKU-4</x:v>
      </x:c>
      <x:c r="B33" t="str">
        <x:v>OP-PUB-008</x:v>
      </x:c>
      <x:c r="C33" t="str">
        <x:v>衣柜</x:v>
      </x:c>
      <x:c r="D33" t="str">
        <x:v>DEMO-008-4</x:v>
      </x:c>
      <x:c r="E33" t="str">
        <x:v>现代简约衣柜演示款</x:v>
      </x:c>
      <x:c r="F33" t="n">
        <x:v>1</x:v>
      </x:c>
      <x:c r="G33" s="28" t="n">
        <x:v>25000</x:v>
      </x:c>
      <x:c r="H33" s="28" t="n">
        <x:f>F33*G33</x:f>
        <x:v>25000</x:v>
      </x:c>
      <x:c r="I33" t="n">
        <x:v>63</x:v>
      </x:c>
      <x:c r="J33" s="1" t="b">
        <x:v>1</x:v>
      </x:c>
      <x:c r="K33" t="str">
        <x:v>AI虚构SKU；不可询价、下单或映射真实欧派产品</x:v>
      </x:c>
    </x:row>
    <x:row r="34">
      <x:c r="A34" t="str">
        <x:v>OP-PUB-009-SKU-1</x:v>
      </x:c>
      <x:c r="B34" t="str">
        <x:v>OP-PUB-009</x:v>
      </x:c>
      <x:c r="C34" t="str">
        <x:v>玄关柜</x:v>
      </x:c>
      <x:c r="D34" t="str">
        <x:v>DEMO-009-1</x:v>
      </x:c>
      <x:c r="E34" t="str">
        <x:v>混合玄关柜演示款</x:v>
      </x:c>
      <x:c r="F34" t="n">
        <x:v>1</x:v>
      </x:c>
      <x:c r="G34" s="28" t="n">
        <x:v>14000</x:v>
      </x:c>
      <x:c r="H34" s="28" t="n">
        <x:f>F34*G34</x:f>
        <x:v>14000</x:v>
      </x:c>
      <x:c r="I34" t="n">
        <x:v>49</x:v>
      </x:c>
      <x:c r="J34" s="1" t="b">
        <x:v>1</x:v>
      </x:c>
      <x:c r="K34" t="str">
        <x:v>AI虚构SKU；不可询价、下单或映射真实欧派产品</x:v>
      </x:c>
    </x:row>
    <x:row r="35">
      <x:c r="A35" t="str">
        <x:v>OP-PUB-009-SKU-2</x:v>
      </x:c>
      <x:c r="B35" t="str">
        <x:v>OP-PUB-009</x:v>
      </x:c>
      <x:c r="C35" t="str">
        <x:v>电视柜</x:v>
      </x:c>
      <x:c r="D35" t="str">
        <x:v>DEMO-009-2</x:v>
      </x:c>
      <x:c r="E35" t="str">
        <x:v>混合电视柜演示款</x:v>
      </x:c>
      <x:c r="F35" t="n">
        <x:v>1</x:v>
      </x:c>
      <x:c r="G35" s="28" t="n">
        <x:v>18000</x:v>
      </x:c>
      <x:c r="H35" s="28" t="n">
        <x:f>F35*G35</x:f>
        <x:v>18000</x:v>
      </x:c>
      <x:c r="I35" t="n">
        <x:v>56</x:v>
      </x:c>
      <x:c r="J35" s="1" t="b">
        <x:v>1</x:v>
      </x:c>
      <x:c r="K35" t="str">
        <x:v>AI虚构SKU；不可询价、下单或映射真实欧派产品</x:v>
      </x:c>
    </x:row>
    <x:row r="36">
      <x:c r="A36" t="str">
        <x:v>OP-PUB-009-SKU-3</x:v>
      </x:c>
      <x:c r="B36" t="str">
        <x:v>OP-PUB-009</x:v>
      </x:c>
      <x:c r="C36" t="str">
        <x:v>餐边柜</x:v>
      </x:c>
      <x:c r="D36" t="str">
        <x:v>DEMO-009-3</x:v>
      </x:c>
      <x:c r="E36" t="str">
        <x:v>混合餐边柜演示款</x:v>
      </x:c>
      <x:c r="F36" t="n">
        <x:v>1</x:v>
      </x:c>
      <x:c r="G36" s="28" t="n">
        <x:v>22000</x:v>
      </x:c>
      <x:c r="H36" s="28" t="n">
        <x:f>F36*G36</x:f>
        <x:v>22000</x:v>
      </x:c>
      <x:c r="I36" t="n">
        <x:v>63</x:v>
      </x:c>
      <x:c r="J36" s="1" t="b">
        <x:v>1</x:v>
      </x:c>
      <x:c r="K36" t="str">
        <x:v>AI虚构SKU；不可询价、下单或映射真实欧派产品</x:v>
      </x:c>
    </x:row>
    <x:row r="37">
      <x:c r="A37" t="str">
        <x:v>OP-PUB-009-SKU-4</x:v>
      </x:c>
      <x:c r="B37" t="str">
        <x:v>OP-PUB-009</x:v>
      </x:c>
      <x:c r="C37" t="str">
        <x:v>衣柜</x:v>
      </x:c>
      <x:c r="D37" t="str">
        <x:v>DEMO-009-4</x:v>
      </x:c>
      <x:c r="E37" t="str">
        <x:v>混合衣柜演示款</x:v>
      </x:c>
      <x:c r="F37" t="n">
        <x:v>1</x:v>
      </x:c>
      <x:c r="G37" s="28" t="n">
        <x:v>26000</x:v>
      </x:c>
      <x:c r="H37" s="28" t="n">
        <x:f>F37*G37</x:f>
        <x:v>26000</x:v>
      </x:c>
      <x:c r="I37" t="n">
        <x:v>70</x:v>
      </x:c>
      <x:c r="J37" s="1" t="b">
        <x:v>1</x:v>
      </x:c>
      <x:c r="K37" t="str">
        <x:v>AI虚构SKU；不可询价、下单或映射真实欧派产品</x:v>
      </x:c>
    </x:row>
    <x:row r="38">
      <x:c r="A38" t="str">
        <x:v>OP-PUB-010-SKU-1</x:v>
      </x:c>
      <x:c r="B38" t="str">
        <x:v>OP-PUB-010</x:v>
      </x:c>
      <x:c r="C38" t="str">
        <x:v>玄关柜</x:v>
      </x:c>
      <x:c r="D38" t="str">
        <x:v>DEMO-010-1</x:v>
      </x:c>
      <x:c r="E38" t="str">
        <x:v>现代轻奢玄关柜演示款</x:v>
      </x:c>
      <x:c r="F38" t="n">
        <x:v>1</x:v>
      </x:c>
      <x:c r="G38" s="28" t="n">
        <x:v>14000</x:v>
      </x:c>
      <x:c r="H38" s="28" t="n">
        <x:f>F38*G38</x:f>
        <x:v>14000</x:v>
      </x:c>
      <x:c r="I38" t="n">
        <x:v>56</x:v>
      </x:c>
      <x:c r="J38" s="1" t="b">
        <x:v>1</x:v>
      </x:c>
      <x:c r="K38" t="str">
        <x:v>AI虚构SKU；不可询价、下单或映射真实欧派产品</x:v>
      </x:c>
    </x:row>
    <x:row r="39">
      <x:c r="A39" t="str">
        <x:v>OP-PUB-010-SKU-2</x:v>
      </x:c>
      <x:c r="B39" t="str">
        <x:v>OP-PUB-010</x:v>
      </x:c>
      <x:c r="C39" t="str">
        <x:v>电视柜</x:v>
      </x:c>
      <x:c r="D39" t="str">
        <x:v>DEMO-010-2</x:v>
      </x:c>
      <x:c r="E39" t="str">
        <x:v>现代轻奢电视柜演示款</x:v>
      </x:c>
      <x:c r="F39" t="n">
        <x:v>1</x:v>
      </x:c>
      <x:c r="G39" s="28" t="n">
        <x:v>19000</x:v>
      </x:c>
      <x:c r="H39" s="28" t="n">
        <x:f>F39*G39</x:f>
        <x:v>19000</x:v>
      </x:c>
      <x:c r="I39" t="n">
        <x:v>63</x:v>
      </x:c>
      <x:c r="J39" s="1" t="b">
        <x:v>1</x:v>
      </x:c>
      <x:c r="K39" t="str">
        <x:v>AI虚构SKU；不可询价、下单或映射真实欧派产品</x:v>
      </x:c>
    </x:row>
    <x:row r="40">
      <x:c r="A40" t="str">
        <x:v>OP-PUB-010-SKU-3</x:v>
      </x:c>
      <x:c r="B40" t="str">
        <x:v>OP-PUB-010</x:v>
      </x:c>
      <x:c r="C40" t="str">
        <x:v>餐边柜</x:v>
      </x:c>
      <x:c r="D40" t="str">
        <x:v>DEMO-010-3</x:v>
      </x:c>
      <x:c r="E40" t="str">
        <x:v>现代轻奢餐边柜演示款</x:v>
      </x:c>
      <x:c r="F40" t="n">
        <x:v>1</x:v>
      </x:c>
      <x:c r="G40" s="28" t="n">
        <x:v>23000</x:v>
      </x:c>
      <x:c r="H40" s="28" t="n">
        <x:f>F40*G40</x:f>
        <x:v>23000</x:v>
      </x:c>
      <x:c r="I40" t="n">
        <x:v>70</x:v>
      </x:c>
      <x:c r="J40" s="1" t="b">
        <x:v>1</x:v>
      </x:c>
      <x:c r="K40" t="str">
        <x:v>AI虚构SKU；不可询价、下单或映射真实欧派产品</x:v>
      </x:c>
    </x:row>
    <x:row r="41">
      <x:c r="A41" t="str">
        <x:v>OP-PUB-010-SKU-4</x:v>
      </x:c>
      <x:c r="B41" t="str">
        <x:v>OP-PUB-010</x:v>
      </x:c>
      <x:c r="C41" t="str">
        <x:v>衣柜</x:v>
      </x:c>
      <x:c r="D41" t="str">
        <x:v>DEMO-010-4</x:v>
      </x:c>
      <x:c r="E41" t="str">
        <x:v>现代轻奢衣柜演示款</x:v>
      </x:c>
      <x:c r="F41" t="n">
        <x:v>1</x:v>
      </x:c>
      <x:c r="G41" s="28" t="n">
        <x:v>27000</x:v>
      </x:c>
      <x:c r="H41" s="28" t="n">
        <x:f>F41*G41</x:f>
        <x:v>27000</x:v>
      </x:c>
      <x:c r="I41" t="n">
        <x:v>35</x:v>
      </x:c>
      <x:c r="J41" s="1" t="b">
        <x:v>1</x:v>
      </x:c>
      <x:c r="K41" t="str">
        <x:v>AI虚构SKU；不可询价、下单或映射真实欧派产品</x:v>
      </x:c>
    </x:row>
    <x:row r="42">
      <x:c r="A42" t="str">
        <x:v>OP-PUB-011-SKU-1</x:v>
      </x:c>
      <x:c r="B42" t="str">
        <x:v>OP-PUB-011</x:v>
      </x:c>
      <x:c r="C42" t="str">
        <x:v>玄关柜</x:v>
      </x:c>
      <x:c r="D42" t="str">
        <x:v>DEMO-011-1</x:v>
      </x:c>
      <x:c r="E42" t="str">
        <x:v>现代原木玄关柜演示款</x:v>
      </x:c>
      <x:c r="F42" t="n">
        <x:v>1</x:v>
      </x:c>
      <x:c r="G42" s="28" t="n">
        <x:v>12000</x:v>
      </x:c>
      <x:c r="H42" s="28" t="n">
        <x:f>F42*G42</x:f>
        <x:v>12000</x:v>
      </x:c>
      <x:c r="I42" t="n">
        <x:v>63</x:v>
      </x:c>
      <x:c r="J42" s="1" t="b">
        <x:v>1</x:v>
      </x:c>
      <x:c r="K42" t="str">
        <x:v>AI虚构SKU；不可询价、下单或映射真实欧派产品</x:v>
      </x:c>
    </x:row>
    <x:row r="43">
      <x:c r="A43" t="str">
        <x:v>OP-PUB-011-SKU-2</x:v>
      </x:c>
      <x:c r="B43" t="str">
        <x:v>OP-PUB-011</x:v>
      </x:c>
      <x:c r="C43" t="str">
        <x:v>电视柜</x:v>
      </x:c>
      <x:c r="D43" t="str">
        <x:v>DEMO-011-2</x:v>
      </x:c>
      <x:c r="E43" t="str">
        <x:v>现代原木电视柜演示款</x:v>
      </x:c>
      <x:c r="F43" t="n">
        <x:v>1</x:v>
      </x:c>
      <x:c r="G43" s="28" t="n">
        <x:v>16000</x:v>
      </x:c>
      <x:c r="H43" s="28" t="n">
        <x:f>F43*G43</x:f>
        <x:v>16000</x:v>
      </x:c>
      <x:c r="I43" t="n">
        <x:v>70</x:v>
      </x:c>
      <x:c r="J43" s="1" t="b">
        <x:v>1</x:v>
      </x:c>
      <x:c r="K43" t="str">
        <x:v>AI虚构SKU；不可询价、下单或映射真实欧派产品</x:v>
      </x:c>
    </x:row>
    <x:row r="44">
      <x:c r="A44" t="str">
        <x:v>OP-PUB-011-SKU-3</x:v>
      </x:c>
      <x:c r="B44" t="str">
        <x:v>OP-PUB-011</x:v>
      </x:c>
      <x:c r="C44" t="str">
        <x:v>餐边柜</x:v>
      </x:c>
      <x:c r="D44" t="str">
        <x:v>DEMO-011-3</x:v>
      </x:c>
      <x:c r="E44" t="str">
        <x:v>现代原木餐边柜演示款</x:v>
      </x:c>
      <x:c r="F44" t="n">
        <x:v>1</x:v>
      </x:c>
      <x:c r="G44" s="28" t="n">
        <x:v>19000</x:v>
      </x:c>
      <x:c r="H44" s="28" t="n">
        <x:f>F44*G44</x:f>
        <x:v>19000</x:v>
      </x:c>
      <x:c r="I44" t="n">
        <x:v>35</x:v>
      </x:c>
      <x:c r="J44" s="1" t="b">
        <x:v>1</x:v>
      </x:c>
      <x:c r="K44" t="str">
        <x:v>AI虚构SKU；不可询价、下单或映射真实欧派产品</x:v>
      </x:c>
    </x:row>
    <x:row r="45">
      <x:c r="A45" t="str">
        <x:v>OP-PUB-011-SKU-4</x:v>
      </x:c>
      <x:c r="B45" t="str">
        <x:v>OP-PUB-011</x:v>
      </x:c>
      <x:c r="C45" t="str">
        <x:v>衣柜</x:v>
      </x:c>
      <x:c r="D45" t="str">
        <x:v>DEMO-011-4</x:v>
      </x:c>
      <x:c r="E45" t="str">
        <x:v>现代原木衣柜演示款</x:v>
      </x:c>
      <x:c r="F45" t="n">
        <x:v>1</x:v>
      </x:c>
      <x:c r="G45" s="28" t="n">
        <x:v>23000</x:v>
      </x:c>
      <x:c r="H45" s="28" t="n">
        <x:f>F45*G45</x:f>
        <x:v>23000</x:v>
      </x:c>
      <x:c r="I45" t="n">
        <x:v>42</x:v>
      </x:c>
      <x:c r="J45" s="1" t="b">
        <x:v>1</x:v>
      </x:c>
      <x:c r="K45" t="str">
        <x:v>AI虚构SKU；不可询价、下单或映射真实欧派产品</x:v>
      </x:c>
    </x:row>
    <x:row r="46">
      <x:c r="A46" t="str">
        <x:v>OP-PUB-012-SKU-1</x:v>
      </x:c>
      <x:c r="B46" t="str">
        <x:v>OP-PUB-012</x:v>
      </x:c>
      <x:c r="C46" t="str">
        <x:v>玄关柜</x:v>
      </x:c>
      <x:c r="D46" t="str">
        <x:v>DEMO-012-1</x:v>
      </x:c>
      <x:c r="E46" t="str">
        <x:v>现代简约玄关柜演示款</x:v>
      </x:c>
      <x:c r="F46" t="n">
        <x:v>1</x:v>
      </x:c>
      <x:c r="G46" s="28" t="n">
        <x:v>13000</x:v>
      </x:c>
      <x:c r="H46" s="28" t="n">
        <x:f>F46*G46</x:f>
        <x:v>13000</x:v>
      </x:c>
      <x:c r="I46" t="n">
        <x:v>70</x:v>
      </x:c>
      <x:c r="J46" s="1" t="b">
        <x:v>1</x:v>
      </x:c>
      <x:c r="K46" t="str">
        <x:v>AI虚构SKU；不可询价、下单或映射真实欧派产品</x:v>
      </x:c>
    </x:row>
    <x:row r="47">
      <x:c r="A47" t="str">
        <x:v>OP-PUB-012-SKU-2</x:v>
      </x:c>
      <x:c r="B47" t="str">
        <x:v>OP-PUB-012</x:v>
      </x:c>
      <x:c r="C47" t="str">
        <x:v>电视柜</x:v>
      </x:c>
      <x:c r="D47" t="str">
        <x:v>DEMO-012-2</x:v>
      </x:c>
      <x:c r="E47" t="str">
        <x:v>现代简约电视柜演示款</x:v>
      </x:c>
      <x:c r="F47" t="n">
        <x:v>1</x:v>
      </x:c>
      <x:c r="G47" s="28" t="n">
        <x:v>16000</x:v>
      </x:c>
      <x:c r="H47" s="28" t="n">
        <x:f>F47*G47</x:f>
        <x:v>16000</x:v>
      </x:c>
      <x:c r="I47" t="n">
        <x:v>35</x:v>
      </x:c>
      <x:c r="J47" s="1" t="b">
        <x:v>1</x:v>
      </x:c>
      <x:c r="K47" t="str">
        <x:v>AI虚构SKU；不可询价、下单或映射真实欧派产品</x:v>
      </x:c>
    </x:row>
    <x:row r="48">
      <x:c r="A48" t="str">
        <x:v>OP-PUB-012-SKU-3</x:v>
      </x:c>
      <x:c r="B48" t="str">
        <x:v>OP-PUB-012</x:v>
      </x:c>
      <x:c r="C48" t="str">
        <x:v>餐边柜</x:v>
      </x:c>
      <x:c r="D48" t="str">
        <x:v>DEMO-012-3</x:v>
      </x:c>
      <x:c r="E48" t="str">
        <x:v>现代简约餐边柜演示款</x:v>
      </x:c>
      <x:c r="F48" t="n">
        <x:v>1</x:v>
      </x:c>
      <x:c r="G48" s="28" t="n">
        <x:v>20000</x:v>
      </x:c>
      <x:c r="H48" s="28" t="n">
        <x:f>F48*G48</x:f>
        <x:v>20000</x:v>
      </x:c>
      <x:c r="I48" t="n">
        <x:v>42</x:v>
      </x:c>
      <x:c r="J48" s="1" t="b">
        <x:v>1</x:v>
      </x:c>
      <x:c r="K48" t="str">
        <x:v>AI虚构SKU；不可询价、下单或映射真实欧派产品</x:v>
      </x:c>
    </x:row>
    <x:row r="49">
      <x:c r="A49" t="str">
        <x:v>OP-PUB-012-SKU-4</x:v>
      </x:c>
      <x:c r="B49" t="str">
        <x:v>OP-PUB-012</x:v>
      </x:c>
      <x:c r="C49" t="str">
        <x:v>衣柜</x:v>
      </x:c>
      <x:c r="D49" t="str">
        <x:v>DEMO-012-4</x:v>
      </x:c>
      <x:c r="E49" t="str">
        <x:v>现代简约衣柜演示款</x:v>
      </x:c>
      <x:c r="F49" t="n">
        <x:v>1</x:v>
      </x:c>
      <x:c r="G49" s="28" t="n">
        <x:v>24000</x:v>
      </x:c>
      <x:c r="H49" s="28" t="n">
        <x:f>F49*G49</x:f>
        <x:v>24000</x:v>
      </x:c>
      <x:c r="I49" t="n">
        <x:v>49</x:v>
      </x:c>
      <x:c r="J49" s="1" t="b">
        <x:v>1</x:v>
      </x:c>
      <x:c r="K49" t="str">
        <x:v>AI虚构SKU；不可询价、下单或映射真实欧派产品</x:v>
      </x:c>
    </x:row>
    <x:row r="50">
      <x:c r="A50" t="str">
        <x:v>OP-PUB-013-SKU-1</x:v>
      </x:c>
      <x:c r="B50" t="str">
        <x:v>OP-PUB-013</x:v>
      </x:c>
      <x:c r="C50" t="str">
        <x:v>玄关柜</x:v>
      </x:c>
      <x:c r="D50" t="str">
        <x:v>DEMO-013-1</x:v>
      </x:c>
      <x:c r="E50" t="str">
        <x:v>现代简约玄关柜演示款</x:v>
      </x:c>
      <x:c r="F50" t="n">
        <x:v>1</x:v>
      </x:c>
      <x:c r="G50" s="28" t="n">
        <x:v>13000</x:v>
      </x:c>
      <x:c r="H50" s="28" t="n">
        <x:f>F50*G50</x:f>
        <x:v>13000</x:v>
      </x:c>
      <x:c r="I50" t="n">
        <x:v>35</x:v>
      </x:c>
      <x:c r="J50" s="1" t="b">
        <x:v>1</x:v>
      </x:c>
      <x:c r="K50" t="str">
        <x:v>AI虚构SKU；不可询价、下单或映射真实欧派产品</x:v>
      </x:c>
    </x:row>
    <x:row r="51">
      <x:c r="A51" t="str">
        <x:v>OP-PUB-013-SKU-2</x:v>
      </x:c>
      <x:c r="B51" t="str">
        <x:v>OP-PUB-013</x:v>
      </x:c>
      <x:c r="C51" t="str">
        <x:v>电视柜</x:v>
      </x:c>
      <x:c r="D51" t="str">
        <x:v>DEMO-013-2</x:v>
      </x:c>
      <x:c r="E51" t="str">
        <x:v>现代简约电视柜演示款</x:v>
      </x:c>
      <x:c r="F51" t="n">
        <x:v>1</x:v>
      </x:c>
      <x:c r="G51" s="28" t="n">
        <x:v>17000</x:v>
      </x:c>
      <x:c r="H51" s="28" t="n">
        <x:f>F51*G51</x:f>
        <x:v>17000</x:v>
      </x:c>
      <x:c r="I51" t="n">
        <x:v>42</x:v>
      </x:c>
      <x:c r="J51" s="1" t="b">
        <x:v>1</x:v>
      </x:c>
      <x:c r="K51" t="str">
        <x:v>AI虚构SKU；不可询价、下单或映射真实欧派产品</x:v>
      </x:c>
    </x:row>
    <x:row r="52">
      <x:c r="A52" t="str">
        <x:v>OP-PUB-013-SKU-3</x:v>
      </x:c>
      <x:c r="B52" t="str">
        <x:v>OP-PUB-013</x:v>
      </x:c>
      <x:c r="C52" t="str">
        <x:v>餐边柜</x:v>
      </x:c>
      <x:c r="D52" t="str">
        <x:v>DEMO-013-3</x:v>
      </x:c>
      <x:c r="E52" t="str">
        <x:v>现代简约餐边柜演示款</x:v>
      </x:c>
      <x:c r="F52" t="n">
        <x:v>1</x:v>
      </x:c>
      <x:c r="G52" s="28" t="n">
        <x:v>21000</x:v>
      </x:c>
      <x:c r="H52" s="28" t="n">
        <x:f>F52*G52</x:f>
        <x:v>21000</x:v>
      </x:c>
      <x:c r="I52" t="n">
        <x:v>49</x:v>
      </x:c>
      <x:c r="J52" s="1" t="b">
        <x:v>1</x:v>
      </x:c>
      <x:c r="K52" t="str">
        <x:v>AI虚构SKU；不可询价、下单或映射真实欧派产品</x:v>
      </x:c>
    </x:row>
    <x:row r="53">
      <x:c r="A53" t="str">
        <x:v>OP-PUB-013-SKU-4</x:v>
      </x:c>
      <x:c r="B53" t="str">
        <x:v>OP-PUB-013</x:v>
      </x:c>
      <x:c r="C53" t="str">
        <x:v>衣柜</x:v>
      </x:c>
      <x:c r="D53" t="str">
        <x:v>DEMO-013-4</x:v>
      </x:c>
      <x:c r="E53" t="str">
        <x:v>现代简约衣柜演示款</x:v>
      </x:c>
      <x:c r="F53" t="n">
        <x:v>1</x:v>
      </x:c>
      <x:c r="G53" s="28" t="n">
        <x:v>25000</x:v>
      </x:c>
      <x:c r="H53" s="28" t="n">
        <x:f>F53*G53</x:f>
        <x:v>25000</x:v>
      </x:c>
      <x:c r="I53" t="n">
        <x:v>56</x:v>
      </x:c>
      <x:c r="J53" s="1" t="b">
        <x:v>1</x:v>
      </x:c>
      <x:c r="K53" t="str">
        <x:v>AI虚构SKU；不可询价、下单或映射真实欧派产品</x:v>
      </x:c>
    </x:row>
    <x:row r="54">
      <x:c r="A54" t="str">
        <x:v>OP-PUB-014-SKU-1</x:v>
      </x:c>
      <x:c r="B54" t="str">
        <x:v>OP-PUB-014</x:v>
      </x:c>
      <x:c r="C54" t="str">
        <x:v>玄关柜</x:v>
      </x:c>
      <x:c r="D54" t="str">
        <x:v>DEMO-014-1</x:v>
      </x:c>
      <x:c r="E54" t="str">
        <x:v>奶油风玄关柜演示款</x:v>
      </x:c>
      <x:c r="F54" t="n">
        <x:v>1</x:v>
      </x:c>
      <x:c r="G54" s="28" t="n">
        <x:v>14000</x:v>
      </x:c>
      <x:c r="H54" s="28" t="n">
        <x:f>F54*G54</x:f>
        <x:v>14000</x:v>
      </x:c>
      <x:c r="I54" t="n">
        <x:v>42</x:v>
      </x:c>
      <x:c r="J54" s="1" t="b">
        <x:v>1</x:v>
      </x:c>
      <x:c r="K54" t="str">
        <x:v>AI虚构SKU；不可询价、下单或映射真实欧派产品</x:v>
      </x:c>
    </x:row>
    <x:row r="55">
      <x:c r="A55" t="str">
        <x:v>OP-PUB-014-SKU-2</x:v>
      </x:c>
      <x:c r="B55" t="str">
        <x:v>OP-PUB-014</x:v>
      </x:c>
      <x:c r="C55" t="str">
        <x:v>电视柜</x:v>
      </x:c>
      <x:c r="D55" t="str">
        <x:v>DEMO-014-2</x:v>
      </x:c>
      <x:c r="E55" t="str">
        <x:v>奶油风电视柜演示款</x:v>
      </x:c>
      <x:c r="F55" t="n">
        <x:v>1</x:v>
      </x:c>
      <x:c r="G55" s="28" t="n">
        <x:v>18000</x:v>
      </x:c>
      <x:c r="H55" s="28" t="n">
        <x:f>F55*G55</x:f>
        <x:v>18000</x:v>
      </x:c>
      <x:c r="I55" t="n">
        <x:v>49</x:v>
      </x:c>
      <x:c r="J55" s="1" t="b">
        <x:v>1</x:v>
      </x:c>
      <x:c r="K55" t="str">
        <x:v>AI虚构SKU；不可询价、下单或映射真实欧派产品</x:v>
      </x:c>
    </x:row>
    <x:row r="56">
      <x:c r="A56" t="str">
        <x:v>OP-PUB-014-SKU-3</x:v>
      </x:c>
      <x:c r="B56" t="str">
        <x:v>OP-PUB-014</x:v>
      </x:c>
      <x:c r="C56" t="str">
        <x:v>餐边柜</x:v>
      </x:c>
      <x:c r="D56" t="str">
        <x:v>DEMO-014-3</x:v>
      </x:c>
      <x:c r="E56" t="str">
        <x:v>奶油风餐边柜演示款</x:v>
      </x:c>
      <x:c r="F56" t="n">
        <x:v>1</x:v>
      </x:c>
      <x:c r="G56" s="28" t="n">
        <x:v>22000</x:v>
      </x:c>
      <x:c r="H56" s="28" t="n">
        <x:f>F56*G56</x:f>
        <x:v>22000</x:v>
      </x:c>
      <x:c r="I56" t="n">
        <x:v>56</x:v>
      </x:c>
      <x:c r="J56" s="1" t="b">
        <x:v>1</x:v>
      </x:c>
      <x:c r="K56" t="str">
        <x:v>AI虚构SKU；不可询价、下单或映射真实欧派产品</x:v>
      </x:c>
    </x:row>
    <x:row r="57">
      <x:c r="A57" t="str">
        <x:v>OP-PUB-014-SKU-4</x:v>
      </x:c>
      <x:c r="B57" t="str">
        <x:v>OP-PUB-014</x:v>
      </x:c>
      <x:c r="C57" t="str">
        <x:v>衣柜</x:v>
      </x:c>
      <x:c r="D57" t="str">
        <x:v>DEMO-014-4</x:v>
      </x:c>
      <x:c r="E57" t="str">
        <x:v>奶油风衣柜演示款</x:v>
      </x:c>
      <x:c r="F57" t="n">
        <x:v>1</x:v>
      </x:c>
      <x:c r="G57" s="28" t="n">
        <x:v>26000</x:v>
      </x:c>
      <x:c r="H57" s="28" t="n">
        <x:f>F57*G57</x:f>
        <x:v>26000</x:v>
      </x:c>
      <x:c r="I57" t="n">
        <x:v>63</x:v>
      </x:c>
      <x:c r="J57" s="1" t="b">
        <x:v>1</x:v>
      </x:c>
      <x:c r="K57" t="str">
        <x:v>AI虚构SKU；不可询价、下单或映射真实欧派产品</x:v>
      </x:c>
    </x:row>
    <x:row r="58">
      <x:c r="A58" t="str">
        <x:v>OP-PUB-015-SKU-1</x:v>
      </x:c>
      <x:c r="B58" t="str">
        <x:v>OP-PUB-015</x:v>
      </x:c>
      <x:c r="C58" t="str">
        <x:v>玄关柜</x:v>
      </x:c>
      <x:c r="D58" t="str">
        <x:v>DEMO-015-1</x:v>
      </x:c>
      <x:c r="E58" t="str">
        <x:v>新中式玄关柜演示款</x:v>
      </x:c>
      <x:c r="F58" t="n">
        <x:v>1</x:v>
      </x:c>
      <x:c r="G58" s="28" t="n">
        <x:v>14000</x:v>
      </x:c>
      <x:c r="H58" s="28" t="n">
        <x:f>F58*G58</x:f>
        <x:v>14000</x:v>
      </x:c>
      <x:c r="I58" t="n">
        <x:v>49</x:v>
      </x:c>
      <x:c r="J58" s="1" t="b">
        <x:v>1</x:v>
      </x:c>
      <x:c r="K58" t="str">
        <x:v>AI虚构SKU；不可询价、下单或映射真实欧派产品</x:v>
      </x:c>
    </x:row>
    <x:row r="59">
      <x:c r="A59" t="str">
        <x:v>OP-PUB-015-SKU-2</x:v>
      </x:c>
      <x:c r="B59" t="str">
        <x:v>OP-PUB-015</x:v>
      </x:c>
      <x:c r="C59" t="str">
        <x:v>电视柜</x:v>
      </x:c>
      <x:c r="D59" t="str">
        <x:v>DEMO-015-2</x:v>
      </x:c>
      <x:c r="E59" t="str">
        <x:v>新中式电视柜演示款</x:v>
      </x:c>
      <x:c r="F59" t="n">
        <x:v>1</x:v>
      </x:c>
      <x:c r="G59" s="28" t="n">
        <x:v>19000</x:v>
      </x:c>
      <x:c r="H59" s="28" t="n">
        <x:f>F59*G59</x:f>
        <x:v>19000</x:v>
      </x:c>
      <x:c r="I59" t="n">
        <x:v>56</x:v>
      </x:c>
      <x:c r="J59" s="1" t="b">
        <x:v>1</x:v>
      </x:c>
      <x:c r="K59" t="str">
        <x:v>AI虚构SKU；不可询价、下单或映射真实欧派产品</x:v>
      </x:c>
    </x:row>
    <x:row r="60">
      <x:c r="A60" t="str">
        <x:v>OP-PUB-015-SKU-3</x:v>
      </x:c>
      <x:c r="B60" t="str">
        <x:v>OP-PUB-015</x:v>
      </x:c>
      <x:c r="C60" t="str">
        <x:v>餐边柜</x:v>
      </x:c>
      <x:c r="D60" t="str">
        <x:v>DEMO-015-3</x:v>
      </x:c>
      <x:c r="E60" t="str">
        <x:v>新中式餐边柜演示款</x:v>
      </x:c>
      <x:c r="F60" t="n">
        <x:v>1</x:v>
      </x:c>
      <x:c r="G60" s="28" t="n">
        <x:v>23000</x:v>
      </x:c>
      <x:c r="H60" s="28" t="n">
        <x:f>F60*G60</x:f>
        <x:v>23000</x:v>
      </x:c>
      <x:c r="I60" t="n">
        <x:v>63</x:v>
      </x:c>
      <x:c r="J60" s="1" t="b">
        <x:v>1</x:v>
      </x:c>
      <x:c r="K60" t="str">
        <x:v>AI虚构SKU；不可询价、下单或映射真实欧派产品</x:v>
      </x:c>
    </x:row>
    <x:row r="61">
      <x:c r="A61" t="str">
        <x:v>OP-PUB-015-SKU-4</x:v>
      </x:c>
      <x:c r="B61" t="str">
        <x:v>OP-PUB-015</x:v>
      </x:c>
      <x:c r="C61" t="str">
        <x:v>衣柜</x:v>
      </x:c>
      <x:c r="D61" t="str">
        <x:v>DEMO-015-4</x:v>
      </x:c>
      <x:c r="E61" t="str">
        <x:v>新中式衣柜演示款</x:v>
      </x:c>
      <x:c r="F61" t="n">
        <x:v>1</x:v>
      </x:c>
      <x:c r="G61" s="28" t="n">
        <x:v>27000</x:v>
      </x:c>
      <x:c r="H61" s="28" t="n">
        <x:f>F61*G61</x:f>
        <x:v>27000</x:v>
      </x:c>
      <x:c r="I61" t="n">
        <x:v>70</x:v>
      </x:c>
      <x:c r="J61" s="1" t="b">
        <x:v>1</x:v>
      </x:c>
      <x:c r="K61" t="str">
        <x:v>AI虚构SKU；不可询价、下单或映射真实欧派产品</x:v>
      </x:c>
    </x:row>
    <x:row r="62">
      <x:c r="A62" t="str">
        <x:v>OP-PUB-016-SKU-1</x:v>
      </x:c>
      <x:c r="B62" t="str">
        <x:v>OP-PUB-016</x:v>
      </x:c>
      <x:c r="C62" t="str">
        <x:v>玄关柜</x:v>
      </x:c>
      <x:c r="D62" t="str">
        <x:v>DEMO-016-1</x:v>
      </x:c>
      <x:c r="E62" t="str">
        <x:v>现代简约玄关柜演示款</x:v>
      </x:c>
      <x:c r="F62" t="n">
        <x:v>1</x:v>
      </x:c>
      <x:c r="G62" s="28" t="n">
        <x:v>12000</x:v>
      </x:c>
      <x:c r="H62" s="28" t="n">
        <x:f>F62*G62</x:f>
        <x:v>12000</x:v>
      </x:c>
      <x:c r="I62" t="n">
        <x:v>56</x:v>
      </x:c>
      <x:c r="J62" s="1" t="b">
        <x:v>1</x:v>
      </x:c>
      <x:c r="K62" t="str">
        <x:v>AI虚构SKU；不可询价、下单或映射真实欧派产品</x:v>
      </x:c>
    </x:row>
    <x:row r="63">
      <x:c r="A63" t="str">
        <x:v>OP-PUB-016-SKU-2</x:v>
      </x:c>
      <x:c r="B63" t="str">
        <x:v>OP-PUB-016</x:v>
      </x:c>
      <x:c r="C63" t="str">
        <x:v>电视柜</x:v>
      </x:c>
      <x:c r="D63" t="str">
        <x:v>DEMO-016-2</x:v>
      </x:c>
      <x:c r="E63" t="str">
        <x:v>现代简约电视柜演示款</x:v>
      </x:c>
      <x:c r="F63" t="n">
        <x:v>1</x:v>
      </x:c>
      <x:c r="G63" s="28" t="n">
        <x:v>16000</x:v>
      </x:c>
      <x:c r="H63" s="28" t="n">
        <x:f>F63*G63</x:f>
        <x:v>16000</x:v>
      </x:c>
      <x:c r="I63" t="n">
        <x:v>63</x:v>
      </x:c>
      <x:c r="J63" s="1" t="b">
        <x:v>1</x:v>
      </x:c>
      <x:c r="K63" t="str">
        <x:v>AI虚构SKU；不可询价、下单或映射真实欧派产品</x:v>
      </x:c>
    </x:row>
    <x:row r="64">
      <x:c r="A64" t="str">
        <x:v>OP-PUB-016-SKU-3</x:v>
      </x:c>
      <x:c r="B64" t="str">
        <x:v>OP-PUB-016</x:v>
      </x:c>
      <x:c r="C64" t="str">
        <x:v>餐边柜</x:v>
      </x:c>
      <x:c r="D64" t="str">
        <x:v>DEMO-016-3</x:v>
      </x:c>
      <x:c r="E64" t="str">
        <x:v>现代简约餐边柜演示款</x:v>
      </x:c>
      <x:c r="F64" t="n">
        <x:v>1</x:v>
      </x:c>
      <x:c r="G64" s="28" t="n">
        <x:v>19000</x:v>
      </x:c>
      <x:c r="H64" s="28" t="n">
        <x:f>F64*G64</x:f>
        <x:v>19000</x:v>
      </x:c>
      <x:c r="I64" t="n">
        <x:v>70</x:v>
      </x:c>
      <x:c r="J64" s="1" t="b">
        <x:v>1</x:v>
      </x:c>
      <x:c r="K64" t="str">
        <x:v>AI虚构SKU；不可询价、下单或映射真实欧派产品</x:v>
      </x:c>
    </x:row>
    <x:row r="65">
      <x:c r="A65" t="str">
        <x:v>OP-PUB-016-SKU-4</x:v>
      </x:c>
      <x:c r="B65" t="str">
        <x:v>OP-PUB-016</x:v>
      </x:c>
      <x:c r="C65" t="str">
        <x:v>衣柜</x:v>
      </x:c>
      <x:c r="D65" t="str">
        <x:v>DEMO-016-4</x:v>
      </x:c>
      <x:c r="E65" t="str">
        <x:v>现代简约衣柜演示款</x:v>
      </x:c>
      <x:c r="F65" t="n">
        <x:v>1</x:v>
      </x:c>
      <x:c r="G65" s="28" t="n">
        <x:v>23000</x:v>
      </x:c>
      <x:c r="H65" s="28" t="n">
        <x:f>F65*G65</x:f>
        <x:v>23000</x:v>
      </x:c>
      <x:c r="I65" t="n">
        <x:v>35</x:v>
      </x:c>
      <x:c r="J65" s="1" t="b">
        <x:v>1</x:v>
      </x:c>
      <x:c r="K65" t="str">
        <x:v>AI虚构SKU；不可询价、下单或映射真实欧派产品</x:v>
      </x:c>
    </x:row>
    <x:row r="66">
      <x:c r="A66" t="str">
        <x:v>OP-PUB-017-SKU-1</x:v>
      </x:c>
      <x:c r="B66" t="str">
        <x:v>OP-PUB-017</x:v>
      </x:c>
      <x:c r="C66" t="str">
        <x:v>玄关柜</x:v>
      </x:c>
      <x:c r="D66" t="str">
        <x:v>DEMO-017-1</x:v>
      </x:c>
      <x:c r="E66" t="str">
        <x:v>奶油风玄关柜演示款</x:v>
      </x:c>
      <x:c r="F66" t="n">
        <x:v>1</x:v>
      </x:c>
      <x:c r="G66" s="28" t="n">
        <x:v>13000</x:v>
      </x:c>
      <x:c r="H66" s="28" t="n">
        <x:f>F66*G66</x:f>
        <x:v>13000</x:v>
      </x:c>
      <x:c r="I66" t="n">
        <x:v>63</x:v>
      </x:c>
      <x:c r="J66" s="1" t="b">
        <x:v>1</x:v>
      </x:c>
      <x:c r="K66" t="str">
        <x:v>AI虚构SKU；不可询价、下单或映射真实欧派产品</x:v>
      </x:c>
    </x:row>
    <x:row r="67">
      <x:c r="A67" t="str">
        <x:v>OP-PUB-017-SKU-2</x:v>
      </x:c>
      <x:c r="B67" t="str">
        <x:v>OP-PUB-017</x:v>
      </x:c>
      <x:c r="C67" t="str">
        <x:v>电视柜</x:v>
      </x:c>
      <x:c r="D67" t="str">
        <x:v>DEMO-017-2</x:v>
      </x:c>
      <x:c r="E67" t="str">
        <x:v>奶油风电视柜演示款</x:v>
      </x:c>
      <x:c r="F67" t="n">
        <x:v>1</x:v>
      </x:c>
      <x:c r="G67" s="28" t="n">
        <x:v>16000</x:v>
      </x:c>
      <x:c r="H67" s="28" t="n">
        <x:f>F67*G67</x:f>
        <x:v>16000</x:v>
      </x:c>
      <x:c r="I67" t="n">
        <x:v>70</x:v>
      </x:c>
      <x:c r="J67" s="1" t="b">
        <x:v>1</x:v>
      </x:c>
      <x:c r="K67" t="str">
        <x:v>AI虚构SKU；不可询价、下单或映射真实欧派产品</x:v>
      </x:c>
    </x:row>
    <x:row r="68">
      <x:c r="A68" t="str">
        <x:v>OP-PUB-017-SKU-3</x:v>
      </x:c>
      <x:c r="B68" t="str">
        <x:v>OP-PUB-017</x:v>
      </x:c>
      <x:c r="C68" t="str">
        <x:v>餐边柜</x:v>
      </x:c>
      <x:c r="D68" t="str">
        <x:v>DEMO-017-3</x:v>
      </x:c>
      <x:c r="E68" t="str">
        <x:v>奶油风餐边柜演示款</x:v>
      </x:c>
      <x:c r="F68" t="n">
        <x:v>1</x:v>
      </x:c>
      <x:c r="G68" s="28" t="n">
        <x:v>20000</x:v>
      </x:c>
      <x:c r="H68" s="28" t="n">
        <x:f>F68*G68</x:f>
        <x:v>20000</x:v>
      </x:c>
      <x:c r="I68" t="n">
        <x:v>35</x:v>
      </x:c>
      <x:c r="J68" s="1" t="b">
        <x:v>1</x:v>
      </x:c>
      <x:c r="K68" t="str">
        <x:v>AI虚构SKU；不可询价、下单或映射真实欧派产品</x:v>
      </x:c>
    </x:row>
    <x:row r="69">
      <x:c r="A69" t="str">
        <x:v>OP-PUB-017-SKU-4</x:v>
      </x:c>
      <x:c r="B69" t="str">
        <x:v>OP-PUB-017</x:v>
      </x:c>
      <x:c r="C69" t="str">
        <x:v>衣柜</x:v>
      </x:c>
      <x:c r="D69" t="str">
        <x:v>DEMO-017-4</x:v>
      </x:c>
      <x:c r="E69" t="str">
        <x:v>奶油风衣柜演示款</x:v>
      </x:c>
      <x:c r="F69" t="n">
        <x:v>1</x:v>
      </x:c>
      <x:c r="G69" s="28" t="n">
        <x:v>24000</x:v>
      </x:c>
      <x:c r="H69" s="28" t="n">
        <x:f>F69*G69</x:f>
        <x:v>24000</x:v>
      </x:c>
      <x:c r="I69" t="n">
        <x:v>42</x:v>
      </x:c>
      <x:c r="J69" s="1" t="b">
        <x:v>1</x:v>
      </x:c>
      <x:c r="K69" t="str">
        <x:v>AI虚构SKU；不可询价、下单或映射真实欧派产品</x:v>
      </x:c>
    </x:row>
    <x:row r="70">
      <x:c r="A70" t="str">
        <x:v>OP-PUB-018-SKU-1</x:v>
      </x:c>
      <x:c r="B70" t="str">
        <x:v>OP-PUB-018</x:v>
      </x:c>
      <x:c r="C70" t="str">
        <x:v>玄关柜</x:v>
      </x:c>
      <x:c r="D70" t="str">
        <x:v>DEMO-018-1</x:v>
      </x:c>
      <x:c r="E70" t="str">
        <x:v>奶油风玄关柜演示款</x:v>
      </x:c>
      <x:c r="F70" t="n">
        <x:v>1</x:v>
      </x:c>
      <x:c r="G70" s="28" t="n">
        <x:v>13000</x:v>
      </x:c>
      <x:c r="H70" s="28" t="n">
        <x:f>F70*G70</x:f>
        <x:v>13000</x:v>
      </x:c>
      <x:c r="I70" t="n">
        <x:v>70</x:v>
      </x:c>
      <x:c r="J70" s="1" t="b">
        <x:v>1</x:v>
      </x:c>
      <x:c r="K70" t="str">
        <x:v>AI虚构SKU；不可询价、下单或映射真实欧派产品</x:v>
      </x:c>
    </x:row>
    <x:row r="71">
      <x:c r="A71" t="str">
        <x:v>OP-PUB-018-SKU-2</x:v>
      </x:c>
      <x:c r="B71" t="str">
        <x:v>OP-PUB-018</x:v>
      </x:c>
      <x:c r="C71" t="str">
        <x:v>电视柜</x:v>
      </x:c>
      <x:c r="D71" t="str">
        <x:v>DEMO-018-2</x:v>
      </x:c>
      <x:c r="E71" t="str">
        <x:v>奶油风电视柜演示款</x:v>
      </x:c>
      <x:c r="F71" t="n">
        <x:v>1</x:v>
      </x:c>
      <x:c r="G71" s="28" t="n">
        <x:v>17000</x:v>
      </x:c>
      <x:c r="H71" s="28" t="n">
        <x:f>F71*G71</x:f>
        <x:v>17000</x:v>
      </x:c>
      <x:c r="I71" t="n">
        <x:v>35</x:v>
      </x:c>
      <x:c r="J71" s="1" t="b">
        <x:v>1</x:v>
      </x:c>
      <x:c r="K71" t="str">
        <x:v>AI虚构SKU；不可询价、下单或映射真实欧派产品</x:v>
      </x:c>
    </x:row>
    <x:row r="72">
      <x:c r="A72" t="str">
        <x:v>OP-PUB-018-SKU-3</x:v>
      </x:c>
      <x:c r="B72" t="str">
        <x:v>OP-PUB-018</x:v>
      </x:c>
      <x:c r="C72" t="str">
        <x:v>餐边柜</x:v>
      </x:c>
      <x:c r="D72" t="str">
        <x:v>DEMO-018-3</x:v>
      </x:c>
      <x:c r="E72" t="str">
        <x:v>奶油风餐边柜演示款</x:v>
      </x:c>
      <x:c r="F72" t="n">
        <x:v>1</x:v>
      </x:c>
      <x:c r="G72" s="28" t="n">
        <x:v>21000</x:v>
      </x:c>
      <x:c r="H72" s="28" t="n">
        <x:f>F72*G72</x:f>
        <x:v>21000</x:v>
      </x:c>
      <x:c r="I72" t="n">
        <x:v>42</x:v>
      </x:c>
      <x:c r="J72" s="1" t="b">
        <x:v>1</x:v>
      </x:c>
      <x:c r="K72" t="str">
        <x:v>AI虚构SKU；不可询价、下单或映射真实欧派产品</x:v>
      </x:c>
    </x:row>
    <x:row r="73">
      <x:c r="A73" t="str">
        <x:v>OP-PUB-018-SKU-4</x:v>
      </x:c>
      <x:c r="B73" t="str">
        <x:v>OP-PUB-018</x:v>
      </x:c>
      <x:c r="C73" t="str">
        <x:v>衣柜</x:v>
      </x:c>
      <x:c r="D73" t="str">
        <x:v>DEMO-018-4</x:v>
      </x:c>
      <x:c r="E73" t="str">
        <x:v>奶油风衣柜演示款</x:v>
      </x:c>
      <x:c r="F73" t="n">
        <x:v>1</x:v>
      </x:c>
      <x:c r="G73" s="28" t="n">
        <x:v>25000</x:v>
      </x:c>
      <x:c r="H73" s="28" t="n">
        <x:f>F73*G73</x:f>
        <x:v>25000</x:v>
      </x:c>
      <x:c r="I73" t="n">
        <x:v>49</x:v>
      </x:c>
      <x:c r="J73" s="1" t="b">
        <x:v>1</x:v>
      </x:c>
      <x:c r="K73" t="str">
        <x:v>AI虚构SKU；不可询价、下单或映射真实欧派产品</x:v>
      </x:c>
    </x:row>
    <x:row r="74">
      <x:c r="A74" t="str">
        <x:v>OP-PUB-019-SKU-1</x:v>
      </x:c>
      <x:c r="B74" t="str">
        <x:v>OP-PUB-019</x:v>
      </x:c>
      <x:c r="C74" t="str">
        <x:v>玄关柜</x:v>
      </x:c>
      <x:c r="D74" t="str">
        <x:v>DEMO-019-1</x:v>
      </x:c>
      <x:c r="E74" t="str">
        <x:v>现代简约玄关柜演示款</x:v>
      </x:c>
      <x:c r="F74" t="n">
        <x:v>1</x:v>
      </x:c>
      <x:c r="G74" s="28" t="n">
        <x:v>14000</x:v>
      </x:c>
      <x:c r="H74" s="28" t="n">
        <x:f>F74*G74</x:f>
        <x:v>14000</x:v>
      </x:c>
      <x:c r="I74" t="n">
        <x:v>35</x:v>
      </x:c>
      <x:c r="J74" s="1" t="b">
        <x:v>1</x:v>
      </x:c>
      <x:c r="K74" t="str">
        <x:v>AI虚构SKU；不可询价、下单或映射真实欧派产品</x:v>
      </x:c>
    </x:row>
    <x:row r="75">
      <x:c r="A75" t="str">
        <x:v>OP-PUB-019-SKU-2</x:v>
      </x:c>
      <x:c r="B75" t="str">
        <x:v>OP-PUB-019</x:v>
      </x:c>
      <x:c r="C75" t="str">
        <x:v>电视柜</x:v>
      </x:c>
      <x:c r="D75" t="str">
        <x:v>DEMO-019-2</x:v>
      </x:c>
      <x:c r="E75" t="str">
        <x:v>现代简约电视柜演示款</x:v>
      </x:c>
      <x:c r="F75" t="n">
        <x:v>1</x:v>
      </x:c>
      <x:c r="G75" s="28" t="n">
        <x:v>18000</x:v>
      </x:c>
      <x:c r="H75" s="28" t="n">
        <x:f>F75*G75</x:f>
        <x:v>18000</x:v>
      </x:c>
      <x:c r="I75" t="n">
        <x:v>42</x:v>
      </x:c>
      <x:c r="J75" s="1" t="b">
        <x:v>1</x:v>
      </x:c>
      <x:c r="K75" t="str">
        <x:v>AI虚构SKU；不可询价、下单或映射真实欧派产品</x:v>
      </x:c>
    </x:row>
    <x:row r="76">
      <x:c r="A76" t="str">
        <x:v>OP-PUB-019-SKU-3</x:v>
      </x:c>
      <x:c r="B76" t="str">
        <x:v>OP-PUB-019</x:v>
      </x:c>
      <x:c r="C76" t="str">
        <x:v>餐边柜</x:v>
      </x:c>
      <x:c r="D76" t="str">
        <x:v>DEMO-019-3</x:v>
      </x:c>
      <x:c r="E76" t="str">
        <x:v>现代简约餐边柜演示款</x:v>
      </x:c>
      <x:c r="F76" t="n">
        <x:v>1</x:v>
      </x:c>
      <x:c r="G76" s="28" t="n">
        <x:v>22000</x:v>
      </x:c>
      <x:c r="H76" s="28" t="n">
        <x:f>F76*G76</x:f>
        <x:v>22000</x:v>
      </x:c>
      <x:c r="I76" t="n">
        <x:v>49</x:v>
      </x:c>
      <x:c r="J76" s="1" t="b">
        <x:v>1</x:v>
      </x:c>
      <x:c r="K76" t="str">
        <x:v>AI虚构SKU；不可询价、下单或映射真实欧派产品</x:v>
      </x:c>
    </x:row>
    <x:row r="77">
      <x:c r="A77" t="str">
        <x:v>OP-PUB-019-SKU-4</x:v>
      </x:c>
      <x:c r="B77" t="str">
        <x:v>OP-PUB-019</x:v>
      </x:c>
      <x:c r="C77" t="str">
        <x:v>衣柜</x:v>
      </x:c>
      <x:c r="D77" t="str">
        <x:v>DEMO-019-4</x:v>
      </x:c>
      <x:c r="E77" t="str">
        <x:v>现代简约衣柜演示款</x:v>
      </x:c>
      <x:c r="F77" t="n">
        <x:v>1</x:v>
      </x:c>
      <x:c r="G77" s="28" t="n">
        <x:v>26000</x:v>
      </x:c>
      <x:c r="H77" s="28" t="n">
        <x:f>F77*G77</x:f>
        <x:v>26000</x:v>
      </x:c>
      <x:c r="I77" t="n">
        <x:v>56</x:v>
      </x:c>
      <x:c r="J77" s="1" t="b">
        <x:v>1</x:v>
      </x:c>
      <x:c r="K77" t="str">
        <x:v>AI虚构SKU；不可询价、下单或映射真实欧派产品</x:v>
      </x:c>
    </x:row>
    <x:row r="78">
      <x:c r="A78" t="str">
        <x:v>OP-PUB-020-SKU-1</x:v>
      </x:c>
      <x:c r="B78" t="str">
        <x:v>OP-PUB-020</x:v>
      </x:c>
      <x:c r="C78" t="str">
        <x:v>玄关柜</x:v>
      </x:c>
      <x:c r="D78" t="str">
        <x:v>DEMO-020-1</x:v>
      </x:c>
      <x:c r="E78" t="str">
        <x:v>现代轻奢玄关柜演示款</x:v>
      </x:c>
      <x:c r="F78" t="n">
        <x:v>1</x:v>
      </x:c>
      <x:c r="G78" s="28" t="n">
        <x:v>14000</x:v>
      </x:c>
      <x:c r="H78" s="28" t="n">
        <x:f>F78*G78</x:f>
        <x:v>14000</x:v>
      </x:c>
      <x:c r="I78" t="n">
        <x:v>42</x:v>
      </x:c>
      <x:c r="J78" s="1" t="b">
        <x:v>1</x:v>
      </x:c>
      <x:c r="K78" t="str">
        <x:v>AI虚构SKU；不可询价、下单或映射真实欧派产品</x:v>
      </x:c>
    </x:row>
    <x:row r="79">
      <x:c r="A79" t="str">
        <x:v>OP-PUB-020-SKU-2</x:v>
      </x:c>
      <x:c r="B79" t="str">
        <x:v>OP-PUB-020</x:v>
      </x:c>
      <x:c r="C79" t="str">
        <x:v>电视柜</x:v>
      </x:c>
      <x:c r="D79" t="str">
        <x:v>DEMO-020-2</x:v>
      </x:c>
      <x:c r="E79" t="str">
        <x:v>现代轻奢电视柜演示款</x:v>
      </x:c>
      <x:c r="F79" t="n">
        <x:v>1</x:v>
      </x:c>
      <x:c r="G79" s="28" t="n">
        <x:v>19000</x:v>
      </x:c>
      <x:c r="H79" s="28" t="n">
        <x:f>F79*G79</x:f>
        <x:v>19000</x:v>
      </x:c>
      <x:c r="I79" t="n">
        <x:v>49</x:v>
      </x:c>
      <x:c r="J79" s="1" t="b">
        <x:v>1</x:v>
      </x:c>
      <x:c r="K79" t="str">
        <x:v>AI虚构SKU；不可询价、下单或映射真实欧派产品</x:v>
      </x:c>
    </x:row>
    <x:row r="80">
      <x:c r="A80" t="str">
        <x:v>OP-PUB-020-SKU-3</x:v>
      </x:c>
      <x:c r="B80" t="str">
        <x:v>OP-PUB-020</x:v>
      </x:c>
      <x:c r="C80" t="str">
        <x:v>餐边柜</x:v>
      </x:c>
      <x:c r="D80" t="str">
        <x:v>DEMO-020-3</x:v>
      </x:c>
      <x:c r="E80" t="str">
        <x:v>现代轻奢餐边柜演示款</x:v>
      </x:c>
      <x:c r="F80" t="n">
        <x:v>1</x:v>
      </x:c>
      <x:c r="G80" s="28" t="n">
        <x:v>23000</x:v>
      </x:c>
      <x:c r="H80" s="28" t="n">
        <x:f>F80*G80</x:f>
        <x:v>23000</x:v>
      </x:c>
      <x:c r="I80" t="n">
        <x:v>56</x:v>
      </x:c>
      <x:c r="J80" s="1" t="b">
        <x:v>1</x:v>
      </x:c>
      <x:c r="K80" t="str">
        <x:v>AI虚构SKU；不可询价、下单或映射真实欧派产品</x:v>
      </x:c>
    </x:row>
    <x:row r="81">
      <x:c r="A81" t="str">
        <x:v>OP-PUB-020-SKU-4</x:v>
      </x:c>
      <x:c r="B81" t="str">
        <x:v>OP-PUB-020</x:v>
      </x:c>
      <x:c r="C81" t="str">
        <x:v>衣柜</x:v>
      </x:c>
      <x:c r="D81" t="str">
        <x:v>DEMO-020-4</x:v>
      </x:c>
      <x:c r="E81" t="str">
        <x:v>现代轻奢衣柜演示款</x:v>
      </x:c>
      <x:c r="F81" t="n">
        <x:v>1</x:v>
      </x:c>
      <x:c r="G81" s="28" t="n">
        <x:v>27000</x:v>
      </x:c>
      <x:c r="H81" s="28" t="n">
        <x:f>F81*G81</x:f>
        <x:v>27000</x:v>
      </x:c>
      <x:c r="I81" t="n">
        <x:v>63</x:v>
      </x:c>
      <x:c r="J81" s="1" t="b">
        <x:v>1</x:v>
      </x:c>
      <x:c r="K81" t="str">
        <x:v>AI虚构SKU；不可询价、下单或映射真实欧派产品</x:v>
      </x:c>
    </x:row>
    <x:row r="82">
      <x:c r="A82" t="str">
        <x:v>OP-PUB-021-SKU-1</x:v>
      </x:c>
      <x:c r="B82" t="str">
        <x:v>OP-PUB-021</x:v>
      </x:c>
      <x:c r="C82" t="str">
        <x:v>玄关柜</x:v>
      </x:c>
      <x:c r="D82" t="str">
        <x:v>DEMO-021-1</x:v>
      </x:c>
      <x:c r="E82" t="str">
        <x:v>奶油风玄关柜演示款</x:v>
      </x:c>
      <x:c r="F82" t="n">
        <x:v>1</x:v>
      </x:c>
      <x:c r="G82" s="28" t="n">
        <x:v>12000</x:v>
      </x:c>
      <x:c r="H82" s="28" t="n">
        <x:f>F82*G82</x:f>
        <x:v>12000</x:v>
      </x:c>
      <x:c r="I82" t="n">
        <x:v>49</x:v>
      </x:c>
      <x:c r="J82" s="1" t="b">
        <x:v>1</x:v>
      </x:c>
      <x:c r="K82" t="str">
        <x:v>AI虚构SKU；不可询价、下单或映射真实欧派产品</x:v>
      </x:c>
    </x:row>
    <x:row r="83">
      <x:c r="A83" t="str">
        <x:v>OP-PUB-021-SKU-2</x:v>
      </x:c>
      <x:c r="B83" t="str">
        <x:v>OP-PUB-021</x:v>
      </x:c>
      <x:c r="C83" t="str">
        <x:v>电视柜</x:v>
      </x:c>
      <x:c r="D83" t="str">
        <x:v>DEMO-021-2</x:v>
      </x:c>
      <x:c r="E83" t="str">
        <x:v>奶油风电视柜演示款</x:v>
      </x:c>
      <x:c r="F83" t="n">
        <x:v>1</x:v>
      </x:c>
      <x:c r="G83" s="28" t="n">
        <x:v>16000</x:v>
      </x:c>
      <x:c r="H83" s="28" t="n">
        <x:f>F83*G83</x:f>
        <x:v>16000</x:v>
      </x:c>
      <x:c r="I83" t="n">
        <x:v>56</x:v>
      </x:c>
      <x:c r="J83" s="1" t="b">
        <x:v>1</x:v>
      </x:c>
      <x:c r="K83" t="str">
        <x:v>AI虚构SKU；不可询价、下单或映射真实欧派产品</x:v>
      </x:c>
    </x:row>
    <x:row r="84">
      <x:c r="A84" t="str">
        <x:v>OP-PUB-021-SKU-3</x:v>
      </x:c>
      <x:c r="B84" t="str">
        <x:v>OP-PUB-021</x:v>
      </x:c>
      <x:c r="C84" t="str">
        <x:v>餐边柜</x:v>
      </x:c>
      <x:c r="D84" t="str">
        <x:v>DEMO-021-3</x:v>
      </x:c>
      <x:c r="E84" t="str">
        <x:v>奶油风餐边柜演示款</x:v>
      </x:c>
      <x:c r="F84" t="n">
        <x:v>1</x:v>
      </x:c>
      <x:c r="G84" s="28" t="n">
        <x:v>19000</x:v>
      </x:c>
      <x:c r="H84" s="28" t="n">
        <x:f>F84*G84</x:f>
        <x:v>19000</x:v>
      </x:c>
      <x:c r="I84" t="n">
        <x:v>63</x:v>
      </x:c>
      <x:c r="J84" s="1" t="b">
        <x:v>1</x:v>
      </x:c>
      <x:c r="K84" t="str">
        <x:v>AI虚构SKU；不可询价、下单或映射真实欧派产品</x:v>
      </x:c>
    </x:row>
    <x:row r="85">
      <x:c r="A85" t="str">
        <x:v>OP-PUB-021-SKU-4</x:v>
      </x:c>
      <x:c r="B85" t="str">
        <x:v>OP-PUB-021</x:v>
      </x:c>
      <x:c r="C85" t="str">
        <x:v>衣柜</x:v>
      </x:c>
      <x:c r="D85" t="str">
        <x:v>DEMO-021-4</x:v>
      </x:c>
      <x:c r="E85" t="str">
        <x:v>奶油风衣柜演示款</x:v>
      </x:c>
      <x:c r="F85" t="n">
        <x:v>1</x:v>
      </x:c>
      <x:c r="G85" s="28" t="n">
        <x:v>23000</x:v>
      </x:c>
      <x:c r="H85" s="28" t="n">
        <x:f>F85*G85</x:f>
        <x:v>23000</x:v>
      </x:c>
      <x:c r="I85" t="n">
        <x:v>70</x:v>
      </x:c>
      <x:c r="J85" s="1" t="b">
        <x:v>1</x:v>
      </x:c>
      <x:c r="K85" t="str">
        <x:v>AI虚构SKU；不可询价、下单或映射真实欧派产品</x:v>
      </x:c>
    </x:row>
    <x:row r="86">
      <x:c r="A86" t="str">
        <x:v>OP-PUB-022-SKU-1</x:v>
      </x:c>
      <x:c r="B86" t="str">
        <x:v>OP-PUB-022</x:v>
      </x:c>
      <x:c r="C86" t="str">
        <x:v>玄关柜</x:v>
      </x:c>
      <x:c r="D86" t="str">
        <x:v>DEMO-022-1</x:v>
      </x:c>
      <x:c r="E86" t="str">
        <x:v>现代简约玄关柜演示款</x:v>
      </x:c>
      <x:c r="F86" t="n">
        <x:v>1</x:v>
      </x:c>
      <x:c r="G86" s="28" t="n">
        <x:v>13000</x:v>
      </x:c>
      <x:c r="H86" s="28" t="n">
        <x:f>F86*G86</x:f>
        <x:v>13000</x:v>
      </x:c>
      <x:c r="I86" t="n">
        <x:v>56</x:v>
      </x:c>
      <x:c r="J86" s="1" t="b">
        <x:v>1</x:v>
      </x:c>
      <x:c r="K86" t="str">
        <x:v>AI虚构SKU；不可询价、下单或映射真实欧派产品</x:v>
      </x:c>
    </x:row>
    <x:row r="87">
      <x:c r="A87" t="str">
        <x:v>OP-PUB-022-SKU-2</x:v>
      </x:c>
      <x:c r="B87" t="str">
        <x:v>OP-PUB-022</x:v>
      </x:c>
      <x:c r="C87" t="str">
        <x:v>电视柜</x:v>
      </x:c>
      <x:c r="D87" t="str">
        <x:v>DEMO-022-2</x:v>
      </x:c>
      <x:c r="E87" t="str">
        <x:v>现代简约电视柜演示款</x:v>
      </x:c>
      <x:c r="F87" t="n">
        <x:v>1</x:v>
      </x:c>
      <x:c r="G87" s="28" t="n">
        <x:v>16000</x:v>
      </x:c>
      <x:c r="H87" s="28" t="n">
        <x:f>F87*G87</x:f>
        <x:v>16000</x:v>
      </x:c>
      <x:c r="I87" t="n">
        <x:v>63</x:v>
      </x:c>
      <x:c r="J87" s="1" t="b">
        <x:v>1</x:v>
      </x:c>
      <x:c r="K87" t="str">
        <x:v>AI虚构SKU；不可询价、下单或映射真实欧派产品</x:v>
      </x:c>
    </x:row>
    <x:row r="88">
      <x:c r="A88" t="str">
        <x:v>OP-PUB-022-SKU-3</x:v>
      </x:c>
      <x:c r="B88" t="str">
        <x:v>OP-PUB-022</x:v>
      </x:c>
      <x:c r="C88" t="str">
        <x:v>餐边柜</x:v>
      </x:c>
      <x:c r="D88" t="str">
        <x:v>DEMO-022-3</x:v>
      </x:c>
      <x:c r="E88" t="str">
        <x:v>现代简约餐边柜演示款</x:v>
      </x:c>
      <x:c r="F88" t="n">
        <x:v>1</x:v>
      </x:c>
      <x:c r="G88" s="28" t="n">
        <x:v>20000</x:v>
      </x:c>
      <x:c r="H88" s="28" t="n">
        <x:f>F88*G88</x:f>
        <x:v>20000</x:v>
      </x:c>
      <x:c r="I88" t="n">
        <x:v>70</x:v>
      </x:c>
      <x:c r="J88" s="1" t="b">
        <x:v>1</x:v>
      </x:c>
      <x:c r="K88" t="str">
        <x:v>AI虚构SKU；不可询价、下单或映射真实欧派产品</x:v>
      </x:c>
    </x:row>
    <x:row r="89">
      <x:c r="A89" t="str">
        <x:v>OP-PUB-022-SKU-4</x:v>
      </x:c>
      <x:c r="B89" t="str">
        <x:v>OP-PUB-022</x:v>
      </x:c>
      <x:c r="C89" t="str">
        <x:v>衣柜</x:v>
      </x:c>
      <x:c r="D89" t="str">
        <x:v>DEMO-022-4</x:v>
      </x:c>
      <x:c r="E89" t="str">
        <x:v>现代简约衣柜演示款</x:v>
      </x:c>
      <x:c r="F89" t="n">
        <x:v>1</x:v>
      </x:c>
      <x:c r="G89" s="28" t="n">
        <x:v>24000</x:v>
      </x:c>
      <x:c r="H89" s="28" t="n">
        <x:f>F89*G89</x:f>
        <x:v>24000</x:v>
      </x:c>
      <x:c r="I89" t="n">
        <x:v>35</x:v>
      </x:c>
      <x:c r="J89" s="1" t="b">
        <x:v>1</x:v>
      </x:c>
      <x:c r="K89" t="str">
        <x:v>AI虚构SKU；不可询价、下单或映射真实欧派产品</x:v>
      </x:c>
    </x:row>
    <x:row r="90">
      <x:c r="A90" t="str">
        <x:v>OP-PUB-023-SKU-1</x:v>
      </x:c>
      <x:c r="B90" t="str">
        <x:v>OP-PUB-023</x:v>
      </x:c>
      <x:c r="C90" t="str">
        <x:v>玄关柜</x:v>
      </x:c>
      <x:c r="D90" t="str">
        <x:v>DEMO-023-1</x:v>
      </x:c>
      <x:c r="E90" t="str">
        <x:v>现代原木玄关柜演示款</x:v>
      </x:c>
      <x:c r="F90" t="n">
        <x:v>1</x:v>
      </x:c>
      <x:c r="G90" s="28" t="n">
        <x:v>13000</x:v>
      </x:c>
      <x:c r="H90" s="28" t="n">
        <x:f>F90*G90</x:f>
        <x:v>13000</x:v>
      </x:c>
      <x:c r="I90" t="n">
        <x:v>63</x:v>
      </x:c>
      <x:c r="J90" s="1" t="b">
        <x:v>1</x:v>
      </x:c>
      <x:c r="K90" t="str">
        <x:v>AI虚构SKU；不可询价、下单或映射真实欧派产品</x:v>
      </x:c>
    </x:row>
    <x:row r="91">
      <x:c r="A91" t="str">
        <x:v>OP-PUB-023-SKU-2</x:v>
      </x:c>
      <x:c r="B91" t="str">
        <x:v>OP-PUB-023</x:v>
      </x:c>
      <x:c r="C91" t="str">
        <x:v>电视柜</x:v>
      </x:c>
      <x:c r="D91" t="str">
        <x:v>DEMO-023-2</x:v>
      </x:c>
      <x:c r="E91" t="str">
        <x:v>现代原木电视柜演示款</x:v>
      </x:c>
      <x:c r="F91" t="n">
        <x:v>1</x:v>
      </x:c>
      <x:c r="G91" s="28" t="n">
        <x:v>17000</x:v>
      </x:c>
      <x:c r="H91" s="28" t="n">
        <x:f>F91*G91</x:f>
        <x:v>17000</x:v>
      </x:c>
      <x:c r="I91" t="n">
        <x:v>70</x:v>
      </x:c>
      <x:c r="J91" s="1" t="b">
        <x:v>1</x:v>
      </x:c>
      <x:c r="K91" t="str">
        <x:v>AI虚构SKU；不可询价、下单或映射真实欧派产品</x:v>
      </x:c>
    </x:row>
    <x:row r="92">
      <x:c r="A92" t="str">
        <x:v>OP-PUB-023-SKU-3</x:v>
      </x:c>
      <x:c r="B92" t="str">
        <x:v>OP-PUB-023</x:v>
      </x:c>
      <x:c r="C92" t="str">
        <x:v>餐边柜</x:v>
      </x:c>
      <x:c r="D92" t="str">
        <x:v>DEMO-023-3</x:v>
      </x:c>
      <x:c r="E92" t="str">
        <x:v>现代原木餐边柜演示款</x:v>
      </x:c>
      <x:c r="F92" t="n">
        <x:v>1</x:v>
      </x:c>
      <x:c r="G92" s="28" t="n">
        <x:v>21000</x:v>
      </x:c>
      <x:c r="H92" s="28" t="n">
        <x:f>F92*G92</x:f>
        <x:v>21000</x:v>
      </x:c>
      <x:c r="I92" t="n">
        <x:v>35</x:v>
      </x:c>
      <x:c r="J92" s="1" t="b">
        <x:v>1</x:v>
      </x:c>
      <x:c r="K92" t="str">
        <x:v>AI虚构SKU；不可询价、下单或映射真实欧派产品</x:v>
      </x:c>
    </x:row>
    <x:row r="93">
      <x:c r="A93" t="str">
        <x:v>OP-PUB-023-SKU-4</x:v>
      </x:c>
      <x:c r="B93" t="str">
        <x:v>OP-PUB-023</x:v>
      </x:c>
      <x:c r="C93" t="str">
        <x:v>衣柜</x:v>
      </x:c>
      <x:c r="D93" t="str">
        <x:v>DEMO-023-4</x:v>
      </x:c>
      <x:c r="E93" t="str">
        <x:v>现代原木衣柜演示款</x:v>
      </x:c>
      <x:c r="F93" t="n">
        <x:v>1</x:v>
      </x:c>
      <x:c r="G93" s="28" t="n">
        <x:v>25000</x:v>
      </x:c>
      <x:c r="H93" s="28" t="n">
        <x:f>F93*G93</x:f>
        <x:v>25000</x:v>
      </x:c>
      <x:c r="I93" t="n">
        <x:v>42</x:v>
      </x:c>
      <x:c r="J93" s="1" t="b">
        <x:v>1</x:v>
      </x:c>
      <x:c r="K93" t="str">
        <x:v>AI虚构SKU；不可询价、下单或映射真实欧派产品</x:v>
      </x:c>
    </x:row>
    <x:row r="94">
      <x:c r="A94" t="str">
        <x:v>OP-PUB-024-SKU-1</x:v>
      </x:c>
      <x:c r="B94" t="str">
        <x:v>OP-PUB-024</x:v>
      </x:c>
      <x:c r="C94" t="str">
        <x:v>玄关柜</x:v>
      </x:c>
      <x:c r="D94" t="str">
        <x:v>DEMO-024-1</x:v>
      </x:c>
      <x:c r="E94" t="str">
        <x:v>新中式玄关柜演示款</x:v>
      </x:c>
      <x:c r="F94" t="n">
        <x:v>1</x:v>
      </x:c>
      <x:c r="G94" s="28" t="n">
        <x:v>14000</x:v>
      </x:c>
      <x:c r="H94" s="28" t="n">
        <x:f>F94*G94</x:f>
        <x:v>14000</x:v>
      </x:c>
      <x:c r="I94" t="n">
        <x:v>70</x:v>
      </x:c>
      <x:c r="J94" s="1" t="b">
        <x:v>1</x:v>
      </x:c>
      <x:c r="K94" t="str">
        <x:v>AI虚构SKU；不可询价、下单或映射真实欧派产品</x:v>
      </x:c>
    </x:row>
    <x:row r="95">
      <x:c r="A95" t="str">
        <x:v>OP-PUB-024-SKU-2</x:v>
      </x:c>
      <x:c r="B95" t="str">
        <x:v>OP-PUB-024</x:v>
      </x:c>
      <x:c r="C95" t="str">
        <x:v>电视柜</x:v>
      </x:c>
      <x:c r="D95" t="str">
        <x:v>DEMO-024-2</x:v>
      </x:c>
      <x:c r="E95" t="str">
        <x:v>新中式电视柜演示款</x:v>
      </x:c>
      <x:c r="F95" t="n">
        <x:v>1</x:v>
      </x:c>
      <x:c r="G95" s="28" t="n">
        <x:v>18000</x:v>
      </x:c>
      <x:c r="H95" s="28" t="n">
        <x:f>F95*G95</x:f>
        <x:v>18000</x:v>
      </x:c>
      <x:c r="I95" t="n">
        <x:v>35</x:v>
      </x:c>
      <x:c r="J95" s="1" t="b">
        <x:v>1</x:v>
      </x:c>
      <x:c r="K95" t="str">
        <x:v>AI虚构SKU；不可询价、下单或映射真实欧派产品</x:v>
      </x:c>
    </x:row>
    <x:row r="96">
      <x:c r="A96" t="str">
        <x:v>OP-PUB-024-SKU-3</x:v>
      </x:c>
      <x:c r="B96" t="str">
        <x:v>OP-PUB-024</x:v>
      </x:c>
      <x:c r="C96" t="str">
        <x:v>餐边柜</x:v>
      </x:c>
      <x:c r="D96" t="str">
        <x:v>DEMO-024-3</x:v>
      </x:c>
      <x:c r="E96" t="str">
        <x:v>新中式餐边柜演示款</x:v>
      </x:c>
      <x:c r="F96" t="n">
        <x:v>1</x:v>
      </x:c>
      <x:c r="G96" s="28" t="n">
        <x:v>22000</x:v>
      </x:c>
      <x:c r="H96" s="28" t="n">
        <x:f>F96*G96</x:f>
        <x:v>22000</x:v>
      </x:c>
      <x:c r="I96" t="n">
        <x:v>42</x:v>
      </x:c>
      <x:c r="J96" s="1" t="b">
        <x:v>1</x:v>
      </x:c>
      <x:c r="K96" t="str">
        <x:v>AI虚构SKU；不可询价、下单或映射真实欧派产品</x:v>
      </x:c>
    </x:row>
    <x:row r="97">
      <x:c r="A97" t="str">
        <x:v>OP-PUB-024-SKU-4</x:v>
      </x:c>
      <x:c r="B97" t="str">
        <x:v>OP-PUB-024</x:v>
      </x:c>
      <x:c r="C97" t="str">
        <x:v>衣柜</x:v>
      </x:c>
      <x:c r="D97" t="str">
        <x:v>DEMO-024-4</x:v>
      </x:c>
      <x:c r="E97" t="str">
        <x:v>新中式衣柜演示款</x:v>
      </x:c>
      <x:c r="F97" t="n">
        <x:v>1</x:v>
      </x:c>
      <x:c r="G97" s="28" t="n">
        <x:v>26000</x:v>
      </x:c>
      <x:c r="H97" s="28" t="n">
        <x:f>F97*G97</x:f>
        <x:v>26000</x:v>
      </x:c>
      <x:c r="I97" t="n">
        <x:v>49</x:v>
      </x:c>
      <x:c r="J97" s="1" t="b">
        <x:v>1</x:v>
      </x:c>
      <x:c r="K97" t="str">
        <x:v>AI虚构SKU；不可询价、下单或映射真实欧派产品</x:v>
      </x:c>
    </x:row>
    <x:row r="98">
      <x:c r="A98" t="str">
        <x:v>OP-PUB-025-SKU-1</x:v>
      </x:c>
      <x:c r="B98" t="str">
        <x:v>OP-PUB-025</x:v>
      </x:c>
      <x:c r="C98" t="str">
        <x:v>玄关柜</x:v>
      </x:c>
      <x:c r="D98" t="str">
        <x:v>DEMO-025-1</x:v>
      </x:c>
      <x:c r="E98" t="str">
        <x:v>现代原木玄关柜演示款</x:v>
      </x:c>
      <x:c r="F98" t="n">
        <x:v>1</x:v>
      </x:c>
      <x:c r="G98" s="28" t="n">
        <x:v>14000</x:v>
      </x:c>
      <x:c r="H98" s="28" t="n">
        <x:f>F98*G98</x:f>
        <x:v>14000</x:v>
      </x:c>
      <x:c r="I98" t="n">
        <x:v>35</x:v>
      </x:c>
      <x:c r="J98" s="1" t="b">
        <x:v>1</x:v>
      </x:c>
      <x:c r="K98" t="str">
        <x:v>AI虚构SKU；不可询价、下单或映射真实欧派产品</x:v>
      </x:c>
    </x:row>
    <x:row r="99">
      <x:c r="A99" t="str">
        <x:v>OP-PUB-025-SKU-2</x:v>
      </x:c>
      <x:c r="B99" t="str">
        <x:v>OP-PUB-025</x:v>
      </x:c>
      <x:c r="C99" t="str">
        <x:v>电视柜</x:v>
      </x:c>
      <x:c r="D99" t="str">
        <x:v>DEMO-025-2</x:v>
      </x:c>
      <x:c r="E99" t="str">
        <x:v>现代原木电视柜演示款</x:v>
      </x:c>
      <x:c r="F99" t="n">
        <x:v>1</x:v>
      </x:c>
      <x:c r="G99" s="28" t="n">
        <x:v>19000</x:v>
      </x:c>
      <x:c r="H99" s="28" t="n">
        <x:f>F99*G99</x:f>
        <x:v>19000</x:v>
      </x:c>
      <x:c r="I99" t="n">
        <x:v>42</x:v>
      </x:c>
      <x:c r="J99" s="1" t="b">
        <x:v>1</x:v>
      </x:c>
      <x:c r="K99" t="str">
        <x:v>AI虚构SKU；不可询价、下单或映射真实欧派产品</x:v>
      </x:c>
    </x:row>
    <x:row r="100">
      <x:c r="A100" t="str">
        <x:v>OP-PUB-025-SKU-3</x:v>
      </x:c>
      <x:c r="B100" t="str">
        <x:v>OP-PUB-025</x:v>
      </x:c>
      <x:c r="C100" t="str">
        <x:v>餐边柜</x:v>
      </x:c>
      <x:c r="D100" t="str">
        <x:v>DEMO-025-3</x:v>
      </x:c>
      <x:c r="E100" t="str">
        <x:v>现代原木餐边柜演示款</x:v>
      </x:c>
      <x:c r="F100" t="n">
        <x:v>1</x:v>
      </x:c>
      <x:c r="G100" s="28" t="n">
        <x:v>23000</x:v>
      </x:c>
      <x:c r="H100" s="28" t="n">
        <x:f>F100*G100</x:f>
        <x:v>23000</x:v>
      </x:c>
      <x:c r="I100" t="n">
        <x:v>49</x:v>
      </x:c>
      <x:c r="J100" s="1" t="b">
        <x:v>1</x:v>
      </x:c>
      <x:c r="K100" t="str">
        <x:v>AI虚构SKU；不可询价、下单或映射真实欧派产品</x:v>
      </x:c>
    </x:row>
    <x:row r="101">
      <x:c r="A101" t="str">
        <x:v>OP-PUB-025-SKU-4</x:v>
      </x:c>
      <x:c r="B101" t="str">
        <x:v>OP-PUB-025</x:v>
      </x:c>
      <x:c r="C101" t="str">
        <x:v>衣柜</x:v>
      </x:c>
      <x:c r="D101" t="str">
        <x:v>DEMO-025-4</x:v>
      </x:c>
      <x:c r="E101" t="str">
        <x:v>现代原木衣柜演示款</x:v>
      </x:c>
      <x:c r="F101" t="n">
        <x:v>1</x:v>
      </x:c>
      <x:c r="G101" s="28" t="n">
        <x:v>27000</x:v>
      </x:c>
      <x:c r="H101" s="28" t="n">
        <x:f>F101*G101</x:f>
        <x:v>27000</x:v>
      </x:c>
      <x:c r="I101" t="n">
        <x:v>56</x:v>
      </x:c>
      <x:c r="J101" s="1" t="b">
        <x:v>1</x:v>
      </x:c>
      <x:c r="K101" t="str">
        <x:v>AI虚构SKU；不可询价、下单或映射真实欧派产品</x:v>
      </x:c>
    </x:row>
    <x:row r="102">
      <x:c r="A102" t="str">
        <x:v>OP-PUB-026-SKU-1</x:v>
      </x:c>
      <x:c r="B102" t="str">
        <x:v>OP-PUB-026</x:v>
      </x:c>
      <x:c r="C102" t="str">
        <x:v>玄关柜</x:v>
      </x:c>
      <x:c r="D102" t="str">
        <x:v>DEMO-026-1</x:v>
      </x:c>
      <x:c r="E102" t="str">
        <x:v>奶油风玄关柜演示款</x:v>
      </x:c>
      <x:c r="F102" t="n">
        <x:v>1</x:v>
      </x:c>
      <x:c r="G102" s="28" t="n">
        <x:v>12000</x:v>
      </x:c>
      <x:c r="H102" s="28" t="n">
        <x:f>F102*G102</x:f>
        <x:v>12000</x:v>
      </x:c>
      <x:c r="I102" t="n">
        <x:v>42</x:v>
      </x:c>
      <x:c r="J102" s="1" t="b">
        <x:v>1</x:v>
      </x:c>
      <x:c r="K102" t="str">
        <x:v>AI虚构SKU；不可询价、下单或映射真实欧派产品</x:v>
      </x:c>
    </x:row>
    <x:row r="103">
      <x:c r="A103" t="str">
        <x:v>OP-PUB-026-SKU-2</x:v>
      </x:c>
      <x:c r="B103" t="str">
        <x:v>OP-PUB-026</x:v>
      </x:c>
      <x:c r="C103" t="str">
        <x:v>电视柜</x:v>
      </x:c>
      <x:c r="D103" t="str">
        <x:v>DEMO-026-2</x:v>
      </x:c>
      <x:c r="E103" t="str">
        <x:v>奶油风电视柜演示款</x:v>
      </x:c>
      <x:c r="F103" t="n">
        <x:v>1</x:v>
      </x:c>
      <x:c r="G103" s="28" t="n">
        <x:v>16000</x:v>
      </x:c>
      <x:c r="H103" s="28" t="n">
        <x:f>F103*G103</x:f>
        <x:v>16000</x:v>
      </x:c>
      <x:c r="I103" t="n">
        <x:v>49</x:v>
      </x:c>
      <x:c r="J103" s="1" t="b">
        <x:v>1</x:v>
      </x:c>
      <x:c r="K103" t="str">
        <x:v>AI虚构SKU；不可询价、下单或映射真实欧派产品</x:v>
      </x:c>
    </x:row>
    <x:row r="104">
      <x:c r="A104" t="str">
        <x:v>OP-PUB-026-SKU-3</x:v>
      </x:c>
      <x:c r="B104" t="str">
        <x:v>OP-PUB-026</x:v>
      </x:c>
      <x:c r="C104" t="str">
        <x:v>餐边柜</x:v>
      </x:c>
      <x:c r="D104" t="str">
        <x:v>DEMO-026-3</x:v>
      </x:c>
      <x:c r="E104" t="str">
        <x:v>奶油风餐边柜演示款</x:v>
      </x:c>
      <x:c r="F104" t="n">
        <x:v>1</x:v>
      </x:c>
      <x:c r="G104" s="28" t="n">
        <x:v>19000</x:v>
      </x:c>
      <x:c r="H104" s="28" t="n">
        <x:f>F104*G104</x:f>
        <x:v>19000</x:v>
      </x:c>
      <x:c r="I104" t="n">
        <x:v>56</x:v>
      </x:c>
      <x:c r="J104" s="1" t="b">
        <x:v>1</x:v>
      </x:c>
      <x:c r="K104" t="str">
        <x:v>AI虚构SKU；不可询价、下单或映射真实欧派产品</x:v>
      </x:c>
    </x:row>
    <x:row r="105">
      <x:c r="A105" t="str">
        <x:v>OP-PUB-026-SKU-4</x:v>
      </x:c>
      <x:c r="B105" t="str">
        <x:v>OP-PUB-026</x:v>
      </x:c>
      <x:c r="C105" t="str">
        <x:v>衣柜</x:v>
      </x:c>
      <x:c r="D105" t="str">
        <x:v>DEMO-026-4</x:v>
      </x:c>
      <x:c r="E105" t="str">
        <x:v>奶油风衣柜演示款</x:v>
      </x:c>
      <x:c r="F105" t="n">
        <x:v>1</x:v>
      </x:c>
      <x:c r="G105" s="28" t="n">
        <x:v>23000</x:v>
      </x:c>
      <x:c r="H105" s="28" t="n">
        <x:f>F105*G105</x:f>
        <x:v>23000</x:v>
      </x:c>
      <x:c r="I105" t="n">
        <x:v>63</x:v>
      </x:c>
      <x:c r="J105" s="1" t="b">
        <x:v>1</x:v>
      </x:c>
      <x:c r="K105" t="str">
        <x:v>AI虚构SKU；不可询价、下单或映射真实欧派产品</x:v>
      </x:c>
    </x:row>
    <x:row r="106">
      <x:c r="A106" t="str">
        <x:v>OP-PUB-027-SKU-1</x:v>
      </x:c>
      <x:c r="B106" t="str">
        <x:v>OP-PUB-027</x:v>
      </x:c>
      <x:c r="C106" t="str">
        <x:v>玄关柜</x:v>
      </x:c>
      <x:c r="D106" t="str">
        <x:v>DEMO-027-1</x:v>
      </x:c>
      <x:c r="E106" t="str">
        <x:v>现代轻奢玄关柜演示款</x:v>
      </x:c>
      <x:c r="F106" t="n">
        <x:v>1</x:v>
      </x:c>
      <x:c r="G106" s="28" t="n">
        <x:v>13000</x:v>
      </x:c>
      <x:c r="H106" s="28" t="n">
        <x:f>F106*G106</x:f>
        <x:v>13000</x:v>
      </x:c>
      <x:c r="I106" t="n">
        <x:v>49</x:v>
      </x:c>
      <x:c r="J106" s="1" t="b">
        <x:v>1</x:v>
      </x:c>
      <x:c r="K106" t="str">
        <x:v>AI虚构SKU；不可询价、下单或映射真实欧派产品</x:v>
      </x:c>
    </x:row>
    <x:row r="107">
      <x:c r="A107" t="str">
        <x:v>OP-PUB-027-SKU-2</x:v>
      </x:c>
      <x:c r="B107" t="str">
        <x:v>OP-PUB-027</x:v>
      </x:c>
      <x:c r="C107" t="str">
        <x:v>电视柜</x:v>
      </x:c>
      <x:c r="D107" t="str">
        <x:v>DEMO-027-2</x:v>
      </x:c>
      <x:c r="E107" t="str">
        <x:v>现代轻奢电视柜演示款</x:v>
      </x:c>
      <x:c r="F107" t="n">
        <x:v>1</x:v>
      </x:c>
      <x:c r="G107" s="28" t="n">
        <x:v>16000</x:v>
      </x:c>
      <x:c r="H107" s="28" t="n">
        <x:f>F107*G107</x:f>
        <x:v>16000</x:v>
      </x:c>
      <x:c r="I107" t="n">
        <x:v>56</x:v>
      </x:c>
      <x:c r="J107" s="1" t="b">
        <x:v>1</x:v>
      </x:c>
      <x:c r="K107" t="str">
        <x:v>AI虚构SKU；不可询价、下单或映射真实欧派产品</x:v>
      </x:c>
    </x:row>
    <x:row r="108">
      <x:c r="A108" t="str">
        <x:v>OP-PUB-027-SKU-3</x:v>
      </x:c>
      <x:c r="B108" t="str">
        <x:v>OP-PUB-027</x:v>
      </x:c>
      <x:c r="C108" t="str">
        <x:v>餐边柜</x:v>
      </x:c>
      <x:c r="D108" t="str">
        <x:v>DEMO-027-3</x:v>
      </x:c>
      <x:c r="E108" t="str">
        <x:v>现代轻奢餐边柜演示款</x:v>
      </x:c>
      <x:c r="F108" t="n">
        <x:v>1</x:v>
      </x:c>
      <x:c r="G108" s="28" t="n">
        <x:v>20000</x:v>
      </x:c>
      <x:c r="H108" s="28" t="n">
        <x:f>F108*G108</x:f>
        <x:v>20000</x:v>
      </x:c>
      <x:c r="I108" t="n">
        <x:v>63</x:v>
      </x:c>
      <x:c r="J108" s="1" t="b">
        <x:v>1</x:v>
      </x:c>
      <x:c r="K108" t="str">
        <x:v>AI虚构SKU；不可询价、下单或映射真实欧派产品</x:v>
      </x:c>
    </x:row>
    <x:row r="109">
      <x:c r="A109" t="str">
        <x:v>OP-PUB-027-SKU-4</x:v>
      </x:c>
      <x:c r="B109" t="str">
        <x:v>OP-PUB-027</x:v>
      </x:c>
      <x:c r="C109" t="str">
        <x:v>衣柜</x:v>
      </x:c>
      <x:c r="D109" t="str">
        <x:v>DEMO-027-4</x:v>
      </x:c>
      <x:c r="E109" t="str">
        <x:v>现代轻奢衣柜演示款</x:v>
      </x:c>
      <x:c r="F109" t="n">
        <x:v>1</x:v>
      </x:c>
      <x:c r="G109" s="28" t="n">
        <x:v>24000</x:v>
      </x:c>
      <x:c r="H109" s="28" t="n">
        <x:f>F109*G109</x:f>
        <x:v>24000</x:v>
      </x:c>
      <x:c r="I109" t="n">
        <x:v>70</x:v>
      </x:c>
      <x:c r="J109" s="1" t="b">
        <x:v>1</x:v>
      </x:c>
      <x:c r="K109" t="str">
        <x:v>AI虚构SKU；不可询价、下单或映射真实欧派产品</x:v>
      </x:c>
    </x:row>
    <x:row r="110">
      <x:c r="A110" t="str">
        <x:v>OP-PUB-028-SKU-1</x:v>
      </x:c>
      <x:c r="B110" t="str">
        <x:v>OP-PUB-028</x:v>
      </x:c>
      <x:c r="C110" t="str">
        <x:v>玄关柜</x:v>
      </x:c>
      <x:c r="D110" t="str">
        <x:v>DEMO-028-1</x:v>
      </x:c>
      <x:c r="E110" t="str">
        <x:v>现代简约玄关柜演示款</x:v>
      </x:c>
      <x:c r="F110" t="n">
        <x:v>1</x:v>
      </x:c>
      <x:c r="G110" s="28" t="n">
        <x:v>13000</x:v>
      </x:c>
      <x:c r="H110" s="28" t="n">
        <x:f>F110*G110</x:f>
        <x:v>13000</x:v>
      </x:c>
      <x:c r="I110" t="n">
        <x:v>56</x:v>
      </x:c>
      <x:c r="J110" s="1" t="b">
        <x:v>1</x:v>
      </x:c>
      <x:c r="K110" t="str">
        <x:v>AI虚构SKU；不可询价、下单或映射真实欧派产品</x:v>
      </x:c>
    </x:row>
    <x:row r="111">
      <x:c r="A111" t="str">
        <x:v>OP-PUB-028-SKU-2</x:v>
      </x:c>
      <x:c r="B111" t="str">
        <x:v>OP-PUB-028</x:v>
      </x:c>
      <x:c r="C111" t="str">
        <x:v>电视柜</x:v>
      </x:c>
      <x:c r="D111" t="str">
        <x:v>DEMO-028-2</x:v>
      </x:c>
      <x:c r="E111" t="str">
        <x:v>现代简约电视柜演示款</x:v>
      </x:c>
      <x:c r="F111" t="n">
        <x:v>1</x:v>
      </x:c>
      <x:c r="G111" s="28" t="n">
        <x:v>17000</x:v>
      </x:c>
      <x:c r="H111" s="28" t="n">
        <x:f>F111*G111</x:f>
        <x:v>17000</x:v>
      </x:c>
      <x:c r="I111" t="n">
        <x:v>63</x:v>
      </x:c>
      <x:c r="J111" s="1" t="b">
        <x:v>1</x:v>
      </x:c>
      <x:c r="K111" t="str">
        <x:v>AI虚构SKU；不可询价、下单或映射真实欧派产品</x:v>
      </x:c>
    </x:row>
    <x:row r="112">
      <x:c r="A112" t="str">
        <x:v>OP-PUB-028-SKU-3</x:v>
      </x:c>
      <x:c r="B112" t="str">
        <x:v>OP-PUB-028</x:v>
      </x:c>
      <x:c r="C112" t="str">
        <x:v>餐边柜</x:v>
      </x:c>
      <x:c r="D112" t="str">
        <x:v>DEMO-028-3</x:v>
      </x:c>
      <x:c r="E112" t="str">
        <x:v>现代简约餐边柜演示款</x:v>
      </x:c>
      <x:c r="F112" t="n">
        <x:v>1</x:v>
      </x:c>
      <x:c r="G112" s="28" t="n">
        <x:v>21000</x:v>
      </x:c>
      <x:c r="H112" s="28" t="n">
        <x:f>F112*G112</x:f>
        <x:v>21000</x:v>
      </x:c>
      <x:c r="I112" t="n">
        <x:v>70</x:v>
      </x:c>
      <x:c r="J112" s="1" t="b">
        <x:v>1</x:v>
      </x:c>
      <x:c r="K112" t="str">
        <x:v>AI虚构SKU；不可询价、下单或映射真实欧派产品</x:v>
      </x:c>
    </x:row>
    <x:row r="113">
      <x:c r="A113" t="str">
        <x:v>OP-PUB-028-SKU-4</x:v>
      </x:c>
      <x:c r="B113" t="str">
        <x:v>OP-PUB-028</x:v>
      </x:c>
      <x:c r="C113" t="str">
        <x:v>衣柜</x:v>
      </x:c>
      <x:c r="D113" t="str">
        <x:v>DEMO-028-4</x:v>
      </x:c>
      <x:c r="E113" t="str">
        <x:v>现代简约衣柜演示款</x:v>
      </x:c>
      <x:c r="F113" t="n">
        <x:v>1</x:v>
      </x:c>
      <x:c r="G113" s="28" t="n">
        <x:v>25000</x:v>
      </x:c>
      <x:c r="H113" s="28" t="n">
        <x:f>F113*G113</x:f>
        <x:v>25000</x:v>
      </x:c>
      <x:c r="I113" t="n">
        <x:v>35</x:v>
      </x:c>
      <x:c r="J113" s="1" t="b">
        <x:v>1</x:v>
      </x:c>
      <x:c r="K113" t="str">
        <x:v>AI虚构SKU；不可询价、下单或映射真实欧派产品</x:v>
      </x:c>
    </x:row>
    <x:row r="114">
      <x:c r="A114" t="str">
        <x:v>OP-PUB-029-SKU-1</x:v>
      </x:c>
      <x:c r="B114" t="str">
        <x:v>OP-PUB-029</x:v>
      </x:c>
      <x:c r="C114" t="str">
        <x:v>玄关柜</x:v>
      </x:c>
      <x:c r="D114" t="str">
        <x:v>DEMO-029-1</x:v>
      </x:c>
      <x:c r="E114" t="str">
        <x:v>现代简约玄关柜演示款</x:v>
      </x:c>
      <x:c r="F114" t="n">
        <x:v>1</x:v>
      </x:c>
      <x:c r="G114" s="28" t="n">
        <x:v>14000</x:v>
      </x:c>
      <x:c r="H114" s="28" t="n">
        <x:f>F114*G114</x:f>
        <x:v>14000</x:v>
      </x:c>
      <x:c r="I114" t="n">
        <x:v>63</x:v>
      </x:c>
      <x:c r="J114" s="1" t="b">
        <x:v>1</x:v>
      </x:c>
      <x:c r="K114" t="str">
        <x:v>AI虚构SKU；不可询价、下单或映射真实欧派产品</x:v>
      </x:c>
    </x:row>
    <x:row r="115">
      <x:c r="A115" t="str">
        <x:v>OP-PUB-029-SKU-2</x:v>
      </x:c>
      <x:c r="B115" t="str">
        <x:v>OP-PUB-029</x:v>
      </x:c>
      <x:c r="C115" t="str">
        <x:v>电视柜</x:v>
      </x:c>
      <x:c r="D115" t="str">
        <x:v>DEMO-029-2</x:v>
      </x:c>
      <x:c r="E115" t="str">
        <x:v>现代简约电视柜演示款</x:v>
      </x:c>
      <x:c r="F115" t="n">
        <x:v>1</x:v>
      </x:c>
      <x:c r="G115" s="28" t="n">
        <x:v>18000</x:v>
      </x:c>
      <x:c r="H115" s="28" t="n">
        <x:f>F115*G115</x:f>
        <x:v>18000</x:v>
      </x:c>
      <x:c r="I115" t="n">
        <x:v>70</x:v>
      </x:c>
      <x:c r="J115" s="1" t="b">
        <x:v>1</x:v>
      </x:c>
      <x:c r="K115" t="str">
        <x:v>AI虚构SKU；不可询价、下单或映射真实欧派产品</x:v>
      </x:c>
    </x:row>
    <x:row r="116">
      <x:c r="A116" t="str">
        <x:v>OP-PUB-029-SKU-3</x:v>
      </x:c>
      <x:c r="B116" t="str">
        <x:v>OP-PUB-029</x:v>
      </x:c>
      <x:c r="C116" t="str">
        <x:v>餐边柜</x:v>
      </x:c>
      <x:c r="D116" t="str">
        <x:v>DEMO-029-3</x:v>
      </x:c>
      <x:c r="E116" t="str">
        <x:v>现代简约餐边柜演示款</x:v>
      </x:c>
      <x:c r="F116" t="n">
        <x:v>1</x:v>
      </x:c>
      <x:c r="G116" s="28" t="n">
        <x:v>22000</x:v>
      </x:c>
      <x:c r="H116" s="28" t="n">
        <x:f>F116*G116</x:f>
        <x:v>22000</x:v>
      </x:c>
      <x:c r="I116" t="n">
        <x:v>35</x:v>
      </x:c>
      <x:c r="J116" s="1" t="b">
        <x:v>1</x:v>
      </x:c>
      <x:c r="K116" t="str">
        <x:v>AI虚构SKU；不可询价、下单或映射真实欧派产品</x:v>
      </x:c>
    </x:row>
    <x:row r="117">
      <x:c r="A117" t="str">
        <x:v>OP-PUB-029-SKU-4</x:v>
      </x:c>
      <x:c r="B117" t="str">
        <x:v>OP-PUB-029</x:v>
      </x:c>
      <x:c r="C117" t="str">
        <x:v>衣柜</x:v>
      </x:c>
      <x:c r="D117" t="str">
        <x:v>DEMO-029-4</x:v>
      </x:c>
      <x:c r="E117" t="str">
        <x:v>现代简约衣柜演示款</x:v>
      </x:c>
      <x:c r="F117" t="n">
        <x:v>1</x:v>
      </x:c>
      <x:c r="G117" s="28" t="n">
        <x:v>26000</x:v>
      </x:c>
      <x:c r="H117" s="28" t="n">
        <x:f>F117*G117</x:f>
        <x:v>26000</x:v>
      </x:c>
      <x:c r="I117" t="n">
        <x:v>42</x:v>
      </x:c>
      <x:c r="J117" s="1" t="b">
        <x:v>1</x:v>
      </x:c>
      <x:c r="K117" t="str">
        <x:v>AI虚构SKU；不可询价、下单或映射真实欧派产品</x:v>
      </x:c>
    </x:row>
    <x:row r="118">
      <x:c r="A118" t="str">
        <x:v>OP-PUB-030-SKU-1</x:v>
      </x:c>
      <x:c r="B118" t="str">
        <x:v>OP-PUB-030</x:v>
      </x:c>
      <x:c r="C118" t="str">
        <x:v>玄关柜</x:v>
      </x:c>
      <x:c r="D118" t="str">
        <x:v>DEMO-030-1</x:v>
      </x:c>
      <x:c r="E118" t="str">
        <x:v>混合玄关柜演示款</x:v>
      </x:c>
      <x:c r="F118" t="n">
        <x:v>1</x:v>
      </x:c>
      <x:c r="G118" s="28" t="n">
        <x:v>14000</x:v>
      </x:c>
      <x:c r="H118" s="28" t="n">
        <x:f>F118*G118</x:f>
        <x:v>14000</x:v>
      </x:c>
      <x:c r="I118" t="n">
        <x:v>70</x:v>
      </x:c>
      <x:c r="J118" s="1" t="b">
        <x:v>1</x:v>
      </x:c>
      <x:c r="K118" t="str">
        <x:v>AI虚构SKU；不可询价、下单或映射真实欧派产品</x:v>
      </x:c>
    </x:row>
    <x:row r="119">
      <x:c r="A119" t="str">
        <x:v>OP-PUB-030-SKU-2</x:v>
      </x:c>
      <x:c r="B119" t="str">
        <x:v>OP-PUB-030</x:v>
      </x:c>
      <x:c r="C119" t="str">
        <x:v>电视柜</x:v>
      </x:c>
      <x:c r="D119" t="str">
        <x:v>DEMO-030-2</x:v>
      </x:c>
      <x:c r="E119" t="str">
        <x:v>混合电视柜演示款</x:v>
      </x:c>
      <x:c r="F119" t="n">
        <x:v>1</x:v>
      </x:c>
      <x:c r="G119" s="28" t="n">
        <x:v>19000</x:v>
      </x:c>
      <x:c r="H119" s="28" t="n">
        <x:f>F119*G119</x:f>
        <x:v>19000</x:v>
      </x:c>
      <x:c r="I119" t="n">
        <x:v>35</x:v>
      </x:c>
      <x:c r="J119" s="1" t="b">
        <x:v>1</x:v>
      </x:c>
      <x:c r="K119" t="str">
        <x:v>AI虚构SKU；不可询价、下单或映射真实欧派产品</x:v>
      </x:c>
    </x:row>
    <x:row r="120">
      <x:c r="A120" t="str">
        <x:v>OP-PUB-030-SKU-3</x:v>
      </x:c>
      <x:c r="B120" t="str">
        <x:v>OP-PUB-030</x:v>
      </x:c>
      <x:c r="C120" t="str">
        <x:v>餐边柜</x:v>
      </x:c>
      <x:c r="D120" t="str">
        <x:v>DEMO-030-3</x:v>
      </x:c>
      <x:c r="E120" t="str">
        <x:v>混合餐边柜演示款</x:v>
      </x:c>
      <x:c r="F120" t="n">
        <x:v>1</x:v>
      </x:c>
      <x:c r="G120" s="28" t="n">
        <x:v>23000</x:v>
      </x:c>
      <x:c r="H120" s="28" t="n">
        <x:f>F120*G120</x:f>
        <x:v>23000</x:v>
      </x:c>
      <x:c r="I120" t="n">
        <x:v>42</x:v>
      </x:c>
      <x:c r="J120" s="1" t="b">
        <x:v>1</x:v>
      </x:c>
      <x:c r="K120" t="str">
        <x:v>AI虚构SKU；不可询价、下单或映射真实欧派产品</x:v>
      </x:c>
    </x:row>
    <x:row r="121">
      <x:c r="A121" t="str">
        <x:v>OP-PUB-030-SKU-4</x:v>
      </x:c>
      <x:c r="B121" t="str">
        <x:v>OP-PUB-030</x:v>
      </x:c>
      <x:c r="C121" t="str">
        <x:v>衣柜</x:v>
      </x:c>
      <x:c r="D121" t="str">
        <x:v>DEMO-030-4</x:v>
      </x:c>
      <x:c r="E121" t="str">
        <x:v>混合衣柜演示款</x:v>
      </x:c>
      <x:c r="F121" t="n">
        <x:v>1</x:v>
      </x:c>
      <x:c r="G121" s="28" t="n">
        <x:v>27000</x:v>
      </x:c>
      <x:c r="H121" s="28" t="n">
        <x:f>F121*G121</x:f>
        <x:v>27000</x:v>
      </x:c>
      <x:c r="I121" t="n">
        <x:v>49</x:v>
      </x:c>
      <x:c r="J121" s="1" t="b">
        <x:v>1</x:v>
      </x:c>
      <x:c r="K121" t="str">
        <x:v>AI虚构SKU；不可询价、下单或映射真实欧派产品</x:v>
      </x:c>
    </x:row>
    <x:row r="122">
      <x:c r="A122" t="str">
        <x:v>OP-PUB-031-SKU-1</x:v>
      </x:c>
      <x:c r="B122" t="str">
        <x:v>OP-PUB-031</x:v>
      </x:c>
      <x:c r="C122" t="str">
        <x:v>玄关柜</x:v>
      </x:c>
      <x:c r="D122" t="str">
        <x:v>DEMO-031-1</x:v>
      </x:c>
      <x:c r="E122" t="str">
        <x:v>混合玄关柜演示款</x:v>
      </x:c>
      <x:c r="F122" t="n">
        <x:v>1</x:v>
      </x:c>
      <x:c r="G122" s="28" t="n">
        <x:v>12000</x:v>
      </x:c>
      <x:c r="H122" s="28" t="n">
        <x:f>F122*G122</x:f>
        <x:v>12000</x:v>
      </x:c>
      <x:c r="I122" t="n">
        <x:v>35</x:v>
      </x:c>
      <x:c r="J122" s="1" t="b">
        <x:v>1</x:v>
      </x:c>
      <x:c r="K122" t="str">
        <x:v>AI虚构SKU；不可询价、下单或映射真实欧派产品</x:v>
      </x:c>
    </x:row>
    <x:row r="123">
      <x:c r="A123" t="str">
        <x:v>OP-PUB-031-SKU-2</x:v>
      </x:c>
      <x:c r="B123" t="str">
        <x:v>OP-PUB-031</x:v>
      </x:c>
      <x:c r="C123" t="str">
        <x:v>电视柜</x:v>
      </x:c>
      <x:c r="D123" t="str">
        <x:v>DEMO-031-2</x:v>
      </x:c>
      <x:c r="E123" t="str">
        <x:v>混合电视柜演示款</x:v>
      </x:c>
      <x:c r="F123" t="n">
        <x:v>1</x:v>
      </x:c>
      <x:c r="G123" s="28" t="n">
        <x:v>16000</x:v>
      </x:c>
      <x:c r="H123" s="28" t="n">
        <x:f>F123*G123</x:f>
        <x:v>16000</x:v>
      </x:c>
      <x:c r="I123" t="n">
        <x:v>42</x:v>
      </x:c>
      <x:c r="J123" s="1" t="b">
        <x:v>1</x:v>
      </x:c>
      <x:c r="K123" t="str">
        <x:v>AI虚构SKU；不可询价、下单或映射真实欧派产品</x:v>
      </x:c>
    </x:row>
    <x:row r="124">
      <x:c r="A124" t="str">
        <x:v>OP-PUB-031-SKU-3</x:v>
      </x:c>
      <x:c r="B124" t="str">
        <x:v>OP-PUB-031</x:v>
      </x:c>
      <x:c r="C124" t="str">
        <x:v>餐边柜</x:v>
      </x:c>
      <x:c r="D124" t="str">
        <x:v>DEMO-031-3</x:v>
      </x:c>
      <x:c r="E124" t="str">
        <x:v>混合餐边柜演示款</x:v>
      </x:c>
      <x:c r="F124" t="n">
        <x:v>1</x:v>
      </x:c>
      <x:c r="G124" s="28" t="n">
        <x:v>19000</x:v>
      </x:c>
      <x:c r="H124" s="28" t="n">
        <x:f>F124*G124</x:f>
        <x:v>19000</x:v>
      </x:c>
      <x:c r="I124" t="n">
        <x:v>49</x:v>
      </x:c>
      <x:c r="J124" s="1" t="b">
        <x:v>1</x:v>
      </x:c>
      <x:c r="K124" t="str">
        <x:v>AI虚构SKU；不可询价、下单或映射真实欧派产品</x:v>
      </x:c>
    </x:row>
    <x:row r="125">
      <x:c r="A125" t="str">
        <x:v>OP-PUB-031-SKU-4</x:v>
      </x:c>
      <x:c r="B125" t="str">
        <x:v>OP-PUB-031</x:v>
      </x:c>
      <x:c r="C125" t="str">
        <x:v>衣柜</x:v>
      </x:c>
      <x:c r="D125" t="str">
        <x:v>DEMO-031-4</x:v>
      </x:c>
      <x:c r="E125" t="str">
        <x:v>混合衣柜演示款</x:v>
      </x:c>
      <x:c r="F125" t="n">
        <x:v>1</x:v>
      </x:c>
      <x:c r="G125" s="28" t="n">
        <x:v>23000</x:v>
      </x:c>
      <x:c r="H125" s="28" t="n">
        <x:f>F125*G125</x:f>
        <x:v>23000</x:v>
      </x:c>
      <x:c r="I125" t="n">
        <x:v>56</x:v>
      </x:c>
      <x:c r="J125" s="1" t="b">
        <x:v>1</x:v>
      </x:c>
      <x:c r="K125" t="str">
        <x:v>AI虚构SKU；不可询价、下单或映射真实欧派产品</x:v>
      </x:c>
    </x:row>
    <x:row r="126">
      <x:c r="A126" t="str">
        <x:v>OP-PUB-032-SKU-1</x:v>
      </x:c>
      <x:c r="B126" t="str">
        <x:v>OP-PUB-032</x:v>
      </x:c>
      <x:c r="C126" t="str">
        <x:v>玄关柜</x:v>
      </x:c>
      <x:c r="D126" t="str">
        <x:v>DEMO-032-1</x:v>
      </x:c>
      <x:c r="E126" t="str">
        <x:v>奶油风玄关柜演示款</x:v>
      </x:c>
      <x:c r="F126" t="n">
        <x:v>1</x:v>
      </x:c>
      <x:c r="G126" s="28" t="n">
        <x:v>13000</x:v>
      </x:c>
      <x:c r="H126" s="28" t="n">
        <x:f>F126*G126</x:f>
        <x:v>13000</x:v>
      </x:c>
      <x:c r="I126" t="n">
        <x:v>42</x:v>
      </x:c>
      <x:c r="J126" s="1" t="b">
        <x:v>1</x:v>
      </x:c>
      <x:c r="K126" t="str">
        <x:v>AI虚构SKU；不可询价、下单或映射真实欧派产品</x:v>
      </x:c>
    </x:row>
    <x:row r="127">
      <x:c r="A127" t="str">
        <x:v>OP-PUB-032-SKU-2</x:v>
      </x:c>
      <x:c r="B127" t="str">
        <x:v>OP-PUB-032</x:v>
      </x:c>
      <x:c r="C127" t="str">
        <x:v>电视柜</x:v>
      </x:c>
      <x:c r="D127" t="str">
        <x:v>DEMO-032-2</x:v>
      </x:c>
      <x:c r="E127" t="str">
        <x:v>奶油风电视柜演示款</x:v>
      </x:c>
      <x:c r="F127" t="n">
        <x:v>1</x:v>
      </x:c>
      <x:c r="G127" s="28" t="n">
        <x:v>16000</x:v>
      </x:c>
      <x:c r="H127" s="28" t="n">
        <x:f>F127*G127</x:f>
        <x:v>16000</x:v>
      </x:c>
      <x:c r="I127" t="n">
        <x:v>49</x:v>
      </x:c>
      <x:c r="J127" s="1" t="b">
        <x:v>1</x:v>
      </x:c>
      <x:c r="K127" t="str">
        <x:v>AI虚构SKU；不可询价、下单或映射真实欧派产品</x:v>
      </x:c>
    </x:row>
    <x:row r="128">
      <x:c r="A128" t="str">
        <x:v>OP-PUB-032-SKU-3</x:v>
      </x:c>
      <x:c r="B128" t="str">
        <x:v>OP-PUB-032</x:v>
      </x:c>
      <x:c r="C128" t="str">
        <x:v>餐边柜</x:v>
      </x:c>
      <x:c r="D128" t="str">
        <x:v>DEMO-032-3</x:v>
      </x:c>
      <x:c r="E128" t="str">
        <x:v>奶油风餐边柜演示款</x:v>
      </x:c>
      <x:c r="F128" t="n">
        <x:v>1</x:v>
      </x:c>
      <x:c r="G128" s="28" t="n">
        <x:v>20000</x:v>
      </x:c>
      <x:c r="H128" s="28" t="n">
        <x:f>F128*G128</x:f>
        <x:v>20000</x:v>
      </x:c>
      <x:c r="I128" t="n">
        <x:v>56</x:v>
      </x:c>
      <x:c r="J128" s="1" t="b">
        <x:v>1</x:v>
      </x:c>
      <x:c r="K128" t="str">
        <x:v>AI虚构SKU；不可询价、下单或映射真实欧派产品</x:v>
      </x:c>
    </x:row>
    <x:row r="129">
      <x:c r="A129" t="str">
        <x:v>OP-PUB-032-SKU-4</x:v>
      </x:c>
      <x:c r="B129" t="str">
        <x:v>OP-PUB-032</x:v>
      </x:c>
      <x:c r="C129" t="str">
        <x:v>衣柜</x:v>
      </x:c>
      <x:c r="D129" t="str">
        <x:v>DEMO-032-4</x:v>
      </x:c>
      <x:c r="E129" t="str">
        <x:v>奶油风衣柜演示款</x:v>
      </x:c>
      <x:c r="F129" t="n">
        <x:v>1</x:v>
      </x:c>
      <x:c r="G129" s="28" t="n">
        <x:v>24000</x:v>
      </x:c>
      <x:c r="H129" s="28" t="n">
        <x:f>F129*G129</x:f>
        <x:v>24000</x:v>
      </x:c>
      <x:c r="I129" t="n">
        <x:v>63</x:v>
      </x:c>
      <x:c r="J129" s="1" t="b">
        <x:v>1</x:v>
      </x:c>
      <x:c r="K129" t="str">
        <x:v>AI虚构SKU；不可询价、下单或映射真实欧派产品</x:v>
      </x:c>
    </x:row>
    <x:row r="130">
      <x:c r="A130" t="str">
        <x:v>OP-PUB-033-SKU-1</x:v>
      </x:c>
      <x:c r="B130" t="str">
        <x:v>OP-PUB-033</x:v>
      </x:c>
      <x:c r="C130" t="str">
        <x:v>玄关柜</x:v>
      </x:c>
      <x:c r="D130" t="str">
        <x:v>DEMO-033-1</x:v>
      </x:c>
      <x:c r="E130" t="str">
        <x:v>奶油风玄关柜演示款</x:v>
      </x:c>
      <x:c r="F130" t="n">
        <x:v>1</x:v>
      </x:c>
      <x:c r="G130" s="28" t="n">
        <x:v>13000</x:v>
      </x:c>
      <x:c r="H130" s="28" t="n">
        <x:f>F130*G130</x:f>
        <x:v>13000</x:v>
      </x:c>
      <x:c r="I130" t="n">
        <x:v>49</x:v>
      </x:c>
      <x:c r="J130" s="1" t="b">
        <x:v>1</x:v>
      </x:c>
      <x:c r="K130" t="str">
        <x:v>AI虚构SKU；不可询价、下单或映射真实欧派产品</x:v>
      </x:c>
    </x:row>
    <x:row r="131">
      <x:c r="A131" t="str">
        <x:v>OP-PUB-033-SKU-2</x:v>
      </x:c>
      <x:c r="B131" t="str">
        <x:v>OP-PUB-033</x:v>
      </x:c>
      <x:c r="C131" t="str">
        <x:v>电视柜</x:v>
      </x:c>
      <x:c r="D131" t="str">
        <x:v>DEMO-033-2</x:v>
      </x:c>
      <x:c r="E131" t="str">
        <x:v>奶油风电视柜演示款</x:v>
      </x:c>
      <x:c r="F131" t="n">
        <x:v>1</x:v>
      </x:c>
      <x:c r="G131" s="28" t="n">
        <x:v>17000</x:v>
      </x:c>
      <x:c r="H131" s="28" t="n">
        <x:f>F131*G131</x:f>
        <x:v>17000</x:v>
      </x:c>
      <x:c r="I131" t="n">
        <x:v>56</x:v>
      </x:c>
      <x:c r="J131" s="1" t="b">
        <x:v>1</x:v>
      </x:c>
      <x:c r="K131" t="str">
        <x:v>AI虚构SKU；不可询价、下单或映射真实欧派产品</x:v>
      </x:c>
    </x:row>
    <x:row r="132">
      <x:c r="A132" t="str">
        <x:v>OP-PUB-033-SKU-3</x:v>
      </x:c>
      <x:c r="B132" t="str">
        <x:v>OP-PUB-033</x:v>
      </x:c>
      <x:c r="C132" t="str">
        <x:v>餐边柜</x:v>
      </x:c>
      <x:c r="D132" t="str">
        <x:v>DEMO-033-3</x:v>
      </x:c>
      <x:c r="E132" t="str">
        <x:v>奶油风餐边柜演示款</x:v>
      </x:c>
      <x:c r="F132" t="n">
        <x:v>1</x:v>
      </x:c>
      <x:c r="G132" s="28" t="n">
        <x:v>21000</x:v>
      </x:c>
      <x:c r="H132" s="28" t="n">
        <x:f>F132*G132</x:f>
        <x:v>21000</x:v>
      </x:c>
      <x:c r="I132" t="n">
        <x:v>63</x:v>
      </x:c>
      <x:c r="J132" s="1" t="b">
        <x:v>1</x:v>
      </x:c>
      <x:c r="K132" t="str">
        <x:v>AI虚构SKU；不可询价、下单或映射真实欧派产品</x:v>
      </x:c>
    </x:row>
    <x:row r="133">
      <x:c r="A133" t="str">
        <x:v>OP-PUB-033-SKU-4</x:v>
      </x:c>
      <x:c r="B133" t="str">
        <x:v>OP-PUB-033</x:v>
      </x:c>
      <x:c r="C133" t="str">
        <x:v>衣柜</x:v>
      </x:c>
      <x:c r="D133" t="str">
        <x:v>DEMO-033-4</x:v>
      </x:c>
      <x:c r="E133" t="str">
        <x:v>奶油风衣柜演示款</x:v>
      </x:c>
      <x:c r="F133" t="n">
        <x:v>1</x:v>
      </x:c>
      <x:c r="G133" s="28" t="n">
        <x:v>25000</x:v>
      </x:c>
      <x:c r="H133" s="28" t="n">
        <x:f>F133*G133</x:f>
        <x:v>25000</x:v>
      </x:c>
      <x:c r="I133" t="n">
        <x:v>70</x:v>
      </x:c>
      <x:c r="J133" s="1" t="b">
        <x:v>1</x:v>
      </x:c>
      <x:c r="K133" t="str">
        <x:v>AI虚构SKU；不可询价、下单或映射真实欧派产品</x:v>
      </x:c>
    </x:row>
    <x:row r="134">
      <x:c r="A134" t="str">
        <x:v>OP-PUB-034-SKU-1</x:v>
      </x:c>
      <x:c r="B134" t="str">
        <x:v>OP-PUB-034</x:v>
      </x:c>
      <x:c r="C134" t="str">
        <x:v>玄关柜</x:v>
      </x:c>
      <x:c r="D134" t="str">
        <x:v>DEMO-034-1</x:v>
      </x:c>
      <x:c r="E134" t="str">
        <x:v>混合玄关柜演示款</x:v>
      </x:c>
      <x:c r="F134" t="n">
        <x:v>1</x:v>
      </x:c>
      <x:c r="G134" s="28" t="n">
        <x:v>14000</x:v>
      </x:c>
      <x:c r="H134" s="28" t="n">
        <x:f>F134*G134</x:f>
        <x:v>14000</x:v>
      </x:c>
      <x:c r="I134" t="n">
        <x:v>56</x:v>
      </x:c>
      <x:c r="J134" s="1" t="b">
        <x:v>1</x:v>
      </x:c>
      <x:c r="K134" t="str">
        <x:v>AI虚构SKU；不可询价、下单或映射真实欧派产品</x:v>
      </x:c>
    </x:row>
    <x:row r="135">
      <x:c r="A135" t="str">
        <x:v>OP-PUB-034-SKU-2</x:v>
      </x:c>
      <x:c r="B135" t="str">
        <x:v>OP-PUB-034</x:v>
      </x:c>
      <x:c r="C135" t="str">
        <x:v>电视柜</x:v>
      </x:c>
      <x:c r="D135" t="str">
        <x:v>DEMO-034-2</x:v>
      </x:c>
      <x:c r="E135" t="str">
        <x:v>混合电视柜演示款</x:v>
      </x:c>
      <x:c r="F135" t="n">
        <x:v>1</x:v>
      </x:c>
      <x:c r="G135" s="28" t="n">
        <x:v>18000</x:v>
      </x:c>
      <x:c r="H135" s="28" t="n">
        <x:f>F135*G135</x:f>
        <x:v>18000</x:v>
      </x:c>
      <x:c r="I135" t="n">
        <x:v>63</x:v>
      </x:c>
      <x:c r="J135" s="1" t="b">
        <x:v>1</x:v>
      </x:c>
      <x:c r="K135" t="str">
        <x:v>AI虚构SKU；不可询价、下单或映射真实欧派产品</x:v>
      </x:c>
    </x:row>
    <x:row r="136">
      <x:c r="A136" t="str">
        <x:v>OP-PUB-034-SKU-3</x:v>
      </x:c>
      <x:c r="B136" t="str">
        <x:v>OP-PUB-034</x:v>
      </x:c>
      <x:c r="C136" t="str">
        <x:v>餐边柜</x:v>
      </x:c>
      <x:c r="D136" t="str">
        <x:v>DEMO-034-3</x:v>
      </x:c>
      <x:c r="E136" t="str">
        <x:v>混合餐边柜演示款</x:v>
      </x:c>
      <x:c r="F136" t="n">
        <x:v>1</x:v>
      </x:c>
      <x:c r="G136" s="28" t="n">
        <x:v>22000</x:v>
      </x:c>
      <x:c r="H136" s="28" t="n">
        <x:f>F136*G136</x:f>
        <x:v>22000</x:v>
      </x:c>
      <x:c r="I136" t="n">
        <x:v>70</x:v>
      </x:c>
      <x:c r="J136" s="1" t="b">
        <x:v>1</x:v>
      </x:c>
      <x:c r="K136" t="str">
        <x:v>AI虚构SKU；不可询价、下单或映射真实欧派产品</x:v>
      </x:c>
    </x:row>
    <x:row r="137">
      <x:c r="A137" t="str">
        <x:v>OP-PUB-034-SKU-4</x:v>
      </x:c>
      <x:c r="B137" t="str">
        <x:v>OP-PUB-034</x:v>
      </x:c>
      <x:c r="C137" t="str">
        <x:v>衣柜</x:v>
      </x:c>
      <x:c r="D137" t="str">
        <x:v>DEMO-034-4</x:v>
      </x:c>
      <x:c r="E137" t="str">
        <x:v>混合衣柜演示款</x:v>
      </x:c>
      <x:c r="F137" t="n">
        <x:v>1</x:v>
      </x:c>
      <x:c r="G137" s="28" t="n">
        <x:v>26000</x:v>
      </x:c>
      <x:c r="H137" s="28" t="n">
        <x:f>F137*G137</x:f>
        <x:v>26000</x:v>
      </x:c>
      <x:c r="I137" t="n">
        <x:v>35</x:v>
      </x:c>
      <x:c r="J137" s="1" t="b">
        <x:v>1</x:v>
      </x:c>
      <x:c r="K137" t="str">
        <x:v>AI虚构SKU；不可询价、下单或映射真实欧派产品</x:v>
      </x:c>
    </x:row>
    <x:row r="138">
      <x:c r="A138" t="str">
        <x:v>OP-PUB-035-SKU-1</x:v>
      </x:c>
      <x:c r="B138" t="str">
        <x:v>OP-PUB-035</x:v>
      </x:c>
      <x:c r="C138" t="str">
        <x:v>玄关柜</x:v>
      </x:c>
      <x:c r="D138" t="str">
        <x:v>DEMO-035-1</x:v>
      </x:c>
      <x:c r="E138" t="str">
        <x:v>奶油风玄关柜演示款</x:v>
      </x:c>
      <x:c r="F138" t="n">
        <x:v>1</x:v>
      </x:c>
      <x:c r="G138" s="28" t="n">
        <x:v>14000</x:v>
      </x:c>
      <x:c r="H138" s="28" t="n">
        <x:f>F138*G138</x:f>
        <x:v>14000</x:v>
      </x:c>
      <x:c r="I138" t="n">
        <x:v>63</x:v>
      </x:c>
      <x:c r="J138" s="1" t="b">
        <x:v>1</x:v>
      </x:c>
      <x:c r="K138" t="str">
        <x:v>AI虚构SKU；不可询价、下单或映射真实欧派产品</x:v>
      </x:c>
    </x:row>
    <x:row r="139">
      <x:c r="A139" t="str">
        <x:v>OP-PUB-035-SKU-2</x:v>
      </x:c>
      <x:c r="B139" t="str">
        <x:v>OP-PUB-035</x:v>
      </x:c>
      <x:c r="C139" t="str">
        <x:v>电视柜</x:v>
      </x:c>
      <x:c r="D139" t="str">
        <x:v>DEMO-035-2</x:v>
      </x:c>
      <x:c r="E139" t="str">
        <x:v>奶油风电视柜演示款</x:v>
      </x:c>
      <x:c r="F139" t="n">
        <x:v>1</x:v>
      </x:c>
      <x:c r="G139" s="28" t="n">
        <x:v>19000</x:v>
      </x:c>
      <x:c r="H139" s="28" t="n">
        <x:f>F139*G139</x:f>
        <x:v>19000</x:v>
      </x:c>
      <x:c r="I139" t="n">
        <x:v>70</x:v>
      </x:c>
      <x:c r="J139" s="1" t="b">
        <x:v>1</x:v>
      </x:c>
      <x:c r="K139" t="str">
        <x:v>AI虚构SKU；不可询价、下单或映射真实欧派产品</x:v>
      </x:c>
    </x:row>
    <x:row r="140">
      <x:c r="A140" t="str">
        <x:v>OP-PUB-035-SKU-3</x:v>
      </x:c>
      <x:c r="B140" t="str">
        <x:v>OP-PUB-035</x:v>
      </x:c>
      <x:c r="C140" t="str">
        <x:v>餐边柜</x:v>
      </x:c>
      <x:c r="D140" t="str">
        <x:v>DEMO-035-3</x:v>
      </x:c>
      <x:c r="E140" t="str">
        <x:v>奶油风餐边柜演示款</x:v>
      </x:c>
      <x:c r="F140" t="n">
        <x:v>1</x:v>
      </x:c>
      <x:c r="G140" s="28" t="n">
        <x:v>23000</x:v>
      </x:c>
      <x:c r="H140" s="28" t="n">
        <x:f>F140*G140</x:f>
        <x:v>23000</x:v>
      </x:c>
      <x:c r="I140" t="n">
        <x:v>35</x:v>
      </x:c>
      <x:c r="J140" s="1" t="b">
        <x:v>1</x:v>
      </x:c>
      <x:c r="K140" t="str">
        <x:v>AI虚构SKU；不可询价、下单或映射真实欧派产品</x:v>
      </x:c>
    </x:row>
    <x:row r="141">
      <x:c r="A141" t="str">
        <x:v>OP-PUB-035-SKU-4</x:v>
      </x:c>
      <x:c r="B141" t="str">
        <x:v>OP-PUB-035</x:v>
      </x:c>
      <x:c r="C141" t="str">
        <x:v>衣柜</x:v>
      </x:c>
      <x:c r="D141" t="str">
        <x:v>DEMO-035-4</x:v>
      </x:c>
      <x:c r="E141" t="str">
        <x:v>奶油风衣柜演示款</x:v>
      </x:c>
      <x:c r="F141" t="n">
        <x:v>1</x:v>
      </x:c>
      <x:c r="G141" s="28" t="n">
        <x:v>27000</x:v>
      </x:c>
      <x:c r="H141" s="28" t="n">
        <x:f>F141*G141</x:f>
        <x:v>27000</x:v>
      </x:c>
      <x:c r="I141" t="n">
        <x:v>42</x:v>
      </x:c>
      <x:c r="J141" s="1" t="b">
        <x:v>1</x:v>
      </x:c>
      <x:c r="K141" t="str">
        <x:v>AI虚构SKU；不可询价、下单或映射真实欧派产品</x:v>
      </x:c>
    </x:row>
    <x:row r="142">
      <x:c r="A142" t="str">
        <x:v>OP-PUB-036-SKU-1</x:v>
      </x:c>
      <x:c r="B142" t="str">
        <x:v>OP-PUB-036</x:v>
      </x:c>
      <x:c r="C142" t="str">
        <x:v>玄关柜</x:v>
      </x:c>
      <x:c r="D142" t="str">
        <x:v>DEMO-036-1</x:v>
      </x:c>
      <x:c r="E142" t="str">
        <x:v>奶油风玄关柜演示款</x:v>
      </x:c>
      <x:c r="F142" t="n">
        <x:v>1</x:v>
      </x:c>
      <x:c r="G142" s="28" t="n">
        <x:v>12000</x:v>
      </x:c>
      <x:c r="H142" s="28" t="n">
        <x:f>F142*G142</x:f>
        <x:v>12000</x:v>
      </x:c>
      <x:c r="I142" t="n">
        <x:v>70</x:v>
      </x:c>
      <x:c r="J142" s="1" t="b">
        <x:v>1</x:v>
      </x:c>
      <x:c r="K142" t="str">
        <x:v>AI虚构SKU；不可询价、下单或映射真实欧派产品</x:v>
      </x:c>
    </x:row>
    <x:row r="143">
      <x:c r="A143" t="str">
        <x:v>OP-PUB-036-SKU-2</x:v>
      </x:c>
      <x:c r="B143" t="str">
        <x:v>OP-PUB-036</x:v>
      </x:c>
      <x:c r="C143" t="str">
        <x:v>电视柜</x:v>
      </x:c>
      <x:c r="D143" t="str">
        <x:v>DEMO-036-2</x:v>
      </x:c>
      <x:c r="E143" t="str">
        <x:v>奶油风电视柜演示款</x:v>
      </x:c>
      <x:c r="F143" t="n">
        <x:v>1</x:v>
      </x:c>
      <x:c r="G143" s="28" t="n">
        <x:v>16000</x:v>
      </x:c>
      <x:c r="H143" s="28" t="n">
        <x:f>F143*G143</x:f>
        <x:v>16000</x:v>
      </x:c>
      <x:c r="I143" t="n">
        <x:v>35</x:v>
      </x:c>
      <x:c r="J143" s="1" t="b">
        <x:v>1</x:v>
      </x:c>
      <x:c r="K143" t="str">
        <x:v>AI虚构SKU；不可询价、下单或映射真实欧派产品</x:v>
      </x:c>
    </x:row>
    <x:row r="144">
      <x:c r="A144" t="str">
        <x:v>OP-PUB-036-SKU-3</x:v>
      </x:c>
      <x:c r="B144" t="str">
        <x:v>OP-PUB-036</x:v>
      </x:c>
      <x:c r="C144" t="str">
        <x:v>餐边柜</x:v>
      </x:c>
      <x:c r="D144" t="str">
        <x:v>DEMO-036-3</x:v>
      </x:c>
      <x:c r="E144" t="str">
        <x:v>奶油风餐边柜演示款</x:v>
      </x:c>
      <x:c r="F144" t="n">
        <x:v>1</x:v>
      </x:c>
      <x:c r="G144" s="28" t="n">
        <x:v>19000</x:v>
      </x:c>
      <x:c r="H144" s="28" t="n">
        <x:f>F144*G144</x:f>
        <x:v>19000</x:v>
      </x:c>
      <x:c r="I144" t="n">
        <x:v>42</x:v>
      </x:c>
      <x:c r="J144" s="1" t="b">
        <x:v>1</x:v>
      </x:c>
      <x:c r="K144" t="str">
        <x:v>AI虚构SKU；不可询价、下单或映射真实欧派产品</x:v>
      </x:c>
    </x:row>
    <x:row r="145">
      <x:c r="A145" t="str">
        <x:v>OP-PUB-036-SKU-4</x:v>
      </x:c>
      <x:c r="B145" t="str">
        <x:v>OP-PUB-036</x:v>
      </x:c>
      <x:c r="C145" t="str">
        <x:v>衣柜</x:v>
      </x:c>
      <x:c r="D145" t="str">
        <x:v>DEMO-036-4</x:v>
      </x:c>
      <x:c r="E145" t="str">
        <x:v>奶油风衣柜演示款</x:v>
      </x:c>
      <x:c r="F145" t="n">
        <x:v>1</x:v>
      </x:c>
      <x:c r="G145" s="28" t="n">
        <x:v>23000</x:v>
      </x:c>
      <x:c r="H145" s="28" t="n">
        <x:f>F145*G145</x:f>
        <x:v>23000</x:v>
      </x:c>
      <x:c r="I145" t="n">
        <x:v>49</x:v>
      </x:c>
      <x:c r="J145" s="1" t="b">
        <x:v>1</x:v>
      </x:c>
      <x:c r="K145" t="str">
        <x:v>AI虚构SKU；不可询价、下单或映射真实欧派产品</x:v>
      </x:c>
    </x:row>
    <x:row r="146">
      <x:c r="A146" t="str">
        <x:v>OP-PUB-037-SKU-1</x:v>
      </x:c>
      <x:c r="B146" t="str">
        <x:v>OP-PUB-037</x:v>
      </x:c>
      <x:c r="C146" t="str">
        <x:v>玄关柜</x:v>
      </x:c>
      <x:c r="D146" t="str">
        <x:v>DEMO-037-1</x:v>
      </x:c>
      <x:c r="E146" t="str">
        <x:v>现代原木玄关柜演示款</x:v>
      </x:c>
      <x:c r="F146" t="n">
        <x:v>1</x:v>
      </x:c>
      <x:c r="G146" s="28" t="n">
        <x:v>13000</x:v>
      </x:c>
      <x:c r="H146" s="28" t="n">
        <x:f>F146*G146</x:f>
        <x:v>13000</x:v>
      </x:c>
      <x:c r="I146" t="n">
        <x:v>35</x:v>
      </x:c>
      <x:c r="J146" s="1" t="b">
        <x:v>1</x:v>
      </x:c>
      <x:c r="K146" t="str">
        <x:v>AI虚构SKU；不可询价、下单或映射真实欧派产品</x:v>
      </x:c>
    </x:row>
    <x:row r="147">
      <x:c r="A147" t="str">
        <x:v>OP-PUB-037-SKU-2</x:v>
      </x:c>
      <x:c r="B147" t="str">
        <x:v>OP-PUB-037</x:v>
      </x:c>
      <x:c r="C147" t="str">
        <x:v>电视柜</x:v>
      </x:c>
      <x:c r="D147" t="str">
        <x:v>DEMO-037-2</x:v>
      </x:c>
      <x:c r="E147" t="str">
        <x:v>现代原木电视柜演示款</x:v>
      </x:c>
      <x:c r="F147" t="n">
        <x:v>1</x:v>
      </x:c>
      <x:c r="G147" s="28" t="n">
        <x:v>16000</x:v>
      </x:c>
      <x:c r="H147" s="28" t="n">
        <x:f>F147*G147</x:f>
        <x:v>16000</x:v>
      </x:c>
      <x:c r="I147" t="n">
        <x:v>42</x:v>
      </x:c>
      <x:c r="J147" s="1" t="b">
        <x:v>1</x:v>
      </x:c>
      <x:c r="K147" t="str">
        <x:v>AI虚构SKU；不可询价、下单或映射真实欧派产品</x:v>
      </x:c>
    </x:row>
    <x:row r="148">
      <x:c r="A148" t="str">
        <x:v>OP-PUB-037-SKU-3</x:v>
      </x:c>
      <x:c r="B148" t="str">
        <x:v>OP-PUB-037</x:v>
      </x:c>
      <x:c r="C148" t="str">
        <x:v>餐边柜</x:v>
      </x:c>
      <x:c r="D148" t="str">
        <x:v>DEMO-037-3</x:v>
      </x:c>
      <x:c r="E148" t="str">
        <x:v>现代原木餐边柜演示款</x:v>
      </x:c>
      <x:c r="F148" t="n">
        <x:v>1</x:v>
      </x:c>
      <x:c r="G148" s="28" t="n">
        <x:v>20000</x:v>
      </x:c>
      <x:c r="H148" s="28" t="n">
        <x:f>F148*G148</x:f>
        <x:v>20000</x:v>
      </x:c>
      <x:c r="I148" t="n">
        <x:v>49</x:v>
      </x:c>
      <x:c r="J148" s="1" t="b">
        <x:v>1</x:v>
      </x:c>
      <x:c r="K148" t="str">
        <x:v>AI虚构SKU；不可询价、下单或映射真实欧派产品</x:v>
      </x:c>
    </x:row>
    <x:row r="149">
      <x:c r="A149" t="str">
        <x:v>OP-PUB-037-SKU-4</x:v>
      </x:c>
      <x:c r="B149" t="str">
        <x:v>OP-PUB-037</x:v>
      </x:c>
      <x:c r="C149" t="str">
        <x:v>衣柜</x:v>
      </x:c>
      <x:c r="D149" t="str">
        <x:v>DEMO-037-4</x:v>
      </x:c>
      <x:c r="E149" t="str">
        <x:v>现代原木衣柜演示款</x:v>
      </x:c>
      <x:c r="F149" t="n">
        <x:v>1</x:v>
      </x:c>
      <x:c r="G149" s="28" t="n">
        <x:v>24000</x:v>
      </x:c>
      <x:c r="H149" s="28" t="n">
        <x:f>F149*G149</x:f>
        <x:v>24000</x:v>
      </x:c>
      <x:c r="I149" t="n">
        <x:v>56</x:v>
      </x:c>
      <x:c r="J149" s="1" t="b">
        <x:v>1</x:v>
      </x:c>
      <x:c r="K149" t="str">
        <x:v>AI虚构SKU；不可询价、下单或映射真实欧派产品</x:v>
      </x:c>
    </x:row>
    <x:row r="150">
      <x:c r="A150" t="str">
        <x:v>OP-PUB-038-SKU-1</x:v>
      </x:c>
      <x:c r="B150" t="str">
        <x:v>OP-PUB-038</x:v>
      </x:c>
      <x:c r="C150" t="str">
        <x:v>玄关柜</x:v>
      </x:c>
      <x:c r="D150" t="str">
        <x:v>DEMO-038-1</x:v>
      </x:c>
      <x:c r="E150" t="str">
        <x:v>现代简约玄关柜演示款</x:v>
      </x:c>
      <x:c r="F150" t="n">
        <x:v>1</x:v>
      </x:c>
      <x:c r="G150" s="28" t="n">
        <x:v>13000</x:v>
      </x:c>
      <x:c r="H150" s="28" t="n">
        <x:f>F150*G150</x:f>
        <x:v>13000</x:v>
      </x:c>
      <x:c r="I150" t="n">
        <x:v>42</x:v>
      </x:c>
      <x:c r="J150" s="1" t="b">
        <x:v>1</x:v>
      </x:c>
      <x:c r="K150" t="str">
        <x:v>AI虚构SKU；不可询价、下单或映射真实欧派产品</x:v>
      </x:c>
    </x:row>
    <x:row r="151">
      <x:c r="A151" t="str">
        <x:v>OP-PUB-038-SKU-2</x:v>
      </x:c>
      <x:c r="B151" t="str">
        <x:v>OP-PUB-038</x:v>
      </x:c>
      <x:c r="C151" t="str">
        <x:v>电视柜</x:v>
      </x:c>
      <x:c r="D151" t="str">
        <x:v>DEMO-038-2</x:v>
      </x:c>
      <x:c r="E151" t="str">
        <x:v>现代简约电视柜演示款</x:v>
      </x:c>
      <x:c r="F151" t="n">
        <x:v>1</x:v>
      </x:c>
      <x:c r="G151" s="28" t="n">
        <x:v>17000</x:v>
      </x:c>
      <x:c r="H151" s="28" t="n">
        <x:f>F151*G151</x:f>
        <x:v>17000</x:v>
      </x:c>
      <x:c r="I151" t="n">
        <x:v>49</x:v>
      </x:c>
      <x:c r="J151" s="1" t="b">
        <x:v>1</x:v>
      </x:c>
      <x:c r="K151" t="str">
        <x:v>AI虚构SKU；不可询价、下单或映射真实欧派产品</x:v>
      </x:c>
    </x:row>
    <x:row r="152">
      <x:c r="A152" t="str">
        <x:v>OP-PUB-038-SKU-3</x:v>
      </x:c>
      <x:c r="B152" t="str">
        <x:v>OP-PUB-038</x:v>
      </x:c>
      <x:c r="C152" t="str">
        <x:v>餐边柜</x:v>
      </x:c>
      <x:c r="D152" t="str">
        <x:v>DEMO-038-3</x:v>
      </x:c>
      <x:c r="E152" t="str">
        <x:v>现代简约餐边柜演示款</x:v>
      </x:c>
      <x:c r="F152" t="n">
        <x:v>1</x:v>
      </x:c>
      <x:c r="G152" s="28" t="n">
        <x:v>21000</x:v>
      </x:c>
      <x:c r="H152" s="28" t="n">
        <x:f>F152*G152</x:f>
        <x:v>21000</x:v>
      </x:c>
      <x:c r="I152" t="n">
        <x:v>56</x:v>
      </x:c>
      <x:c r="J152" s="1" t="b">
        <x:v>1</x:v>
      </x:c>
      <x:c r="K152" t="str">
        <x:v>AI虚构SKU；不可询价、下单或映射真实欧派产品</x:v>
      </x:c>
    </x:row>
    <x:row r="153">
      <x:c r="A153" t="str">
        <x:v>OP-PUB-038-SKU-4</x:v>
      </x:c>
      <x:c r="B153" t="str">
        <x:v>OP-PUB-038</x:v>
      </x:c>
      <x:c r="C153" t="str">
        <x:v>衣柜</x:v>
      </x:c>
      <x:c r="D153" t="str">
        <x:v>DEMO-038-4</x:v>
      </x:c>
      <x:c r="E153" t="str">
        <x:v>现代简约衣柜演示款</x:v>
      </x:c>
      <x:c r="F153" t="n">
        <x:v>1</x:v>
      </x:c>
      <x:c r="G153" s="28" t="n">
        <x:v>25000</x:v>
      </x:c>
      <x:c r="H153" s="28" t="n">
        <x:f>F153*G153</x:f>
        <x:v>25000</x:v>
      </x:c>
      <x:c r="I153" t="n">
        <x:v>63</x:v>
      </x:c>
      <x:c r="J153" s="1" t="b">
        <x:v>1</x:v>
      </x:c>
      <x:c r="K153" t="str">
        <x:v>AI虚构SKU；不可询价、下单或映射真实欧派产品</x:v>
      </x:c>
    </x:row>
    <x:row r="154">
      <x:c r="A154" t="str">
        <x:v>OP-PUB-039-SKU-1</x:v>
      </x:c>
      <x:c r="B154" t="str">
        <x:v>OP-PUB-039</x:v>
      </x:c>
      <x:c r="C154" t="str">
        <x:v>玄关柜</x:v>
      </x:c>
      <x:c r="D154" t="str">
        <x:v>DEMO-039-1</x:v>
      </x:c>
      <x:c r="E154" t="str">
        <x:v>新中式玄关柜演示款</x:v>
      </x:c>
      <x:c r="F154" t="n">
        <x:v>1</x:v>
      </x:c>
      <x:c r="G154" s="28" t="n">
        <x:v>14000</x:v>
      </x:c>
      <x:c r="H154" s="28" t="n">
        <x:f>F154*G154</x:f>
        <x:v>14000</x:v>
      </x:c>
      <x:c r="I154" t="n">
        <x:v>49</x:v>
      </x:c>
      <x:c r="J154" s="1" t="b">
        <x:v>1</x:v>
      </x:c>
      <x:c r="K154" t="str">
        <x:v>AI虚构SKU；不可询价、下单或映射真实欧派产品</x:v>
      </x:c>
    </x:row>
    <x:row r="155">
      <x:c r="A155" t="str">
        <x:v>OP-PUB-039-SKU-2</x:v>
      </x:c>
      <x:c r="B155" t="str">
        <x:v>OP-PUB-039</x:v>
      </x:c>
      <x:c r="C155" t="str">
        <x:v>电视柜</x:v>
      </x:c>
      <x:c r="D155" t="str">
        <x:v>DEMO-039-2</x:v>
      </x:c>
      <x:c r="E155" t="str">
        <x:v>新中式电视柜演示款</x:v>
      </x:c>
      <x:c r="F155" t="n">
        <x:v>1</x:v>
      </x:c>
      <x:c r="G155" s="28" t="n">
        <x:v>18000</x:v>
      </x:c>
      <x:c r="H155" s="28" t="n">
        <x:f>F155*G155</x:f>
        <x:v>18000</x:v>
      </x:c>
      <x:c r="I155" t="n">
        <x:v>56</x:v>
      </x:c>
      <x:c r="J155" s="1" t="b">
        <x:v>1</x:v>
      </x:c>
      <x:c r="K155" t="str">
        <x:v>AI虚构SKU；不可询价、下单或映射真实欧派产品</x:v>
      </x:c>
    </x:row>
    <x:row r="156">
      <x:c r="A156" t="str">
        <x:v>OP-PUB-039-SKU-3</x:v>
      </x:c>
      <x:c r="B156" t="str">
        <x:v>OP-PUB-039</x:v>
      </x:c>
      <x:c r="C156" t="str">
        <x:v>餐边柜</x:v>
      </x:c>
      <x:c r="D156" t="str">
        <x:v>DEMO-039-3</x:v>
      </x:c>
      <x:c r="E156" t="str">
        <x:v>新中式餐边柜演示款</x:v>
      </x:c>
      <x:c r="F156" t="n">
        <x:v>1</x:v>
      </x:c>
      <x:c r="G156" s="28" t="n">
        <x:v>22000</x:v>
      </x:c>
      <x:c r="H156" s="28" t="n">
        <x:f>F156*G156</x:f>
        <x:v>22000</x:v>
      </x:c>
      <x:c r="I156" t="n">
        <x:v>63</x:v>
      </x:c>
      <x:c r="J156" s="1" t="b">
        <x:v>1</x:v>
      </x:c>
      <x:c r="K156" t="str">
        <x:v>AI虚构SKU；不可询价、下单或映射真实欧派产品</x:v>
      </x:c>
    </x:row>
    <x:row r="157">
      <x:c r="A157" t="str">
        <x:v>OP-PUB-039-SKU-4</x:v>
      </x:c>
      <x:c r="B157" t="str">
        <x:v>OP-PUB-039</x:v>
      </x:c>
      <x:c r="C157" t="str">
        <x:v>衣柜</x:v>
      </x:c>
      <x:c r="D157" t="str">
        <x:v>DEMO-039-4</x:v>
      </x:c>
      <x:c r="E157" t="str">
        <x:v>新中式衣柜演示款</x:v>
      </x:c>
      <x:c r="F157" t="n">
        <x:v>1</x:v>
      </x:c>
      <x:c r="G157" s="28" t="n">
        <x:v>26000</x:v>
      </x:c>
      <x:c r="H157" s="28" t="n">
        <x:f>F157*G157</x:f>
        <x:v>26000</x:v>
      </x:c>
      <x:c r="I157" t="n">
        <x:v>70</x:v>
      </x:c>
      <x:c r="J157" s="1" t="b">
        <x:v>1</x:v>
      </x:c>
      <x:c r="K157" t="str">
        <x:v>AI虚构SKU；不可询价、下单或映射真实欧派产品</x:v>
      </x:c>
    </x:row>
    <x:row r="158">
      <x:c r="A158" t="str">
        <x:v>OP-PUB-040-SKU-1</x:v>
      </x:c>
      <x:c r="B158" t="str">
        <x:v>OP-PUB-040</x:v>
      </x:c>
      <x:c r="C158" t="str">
        <x:v>玄关柜</x:v>
      </x:c>
      <x:c r="D158" t="str">
        <x:v>DEMO-040-1</x:v>
      </x:c>
      <x:c r="E158" t="str">
        <x:v>奶油风玄关柜演示款</x:v>
      </x:c>
      <x:c r="F158" t="n">
        <x:v>1</x:v>
      </x:c>
      <x:c r="G158" s="28" t="n">
        <x:v>14000</x:v>
      </x:c>
      <x:c r="H158" s="28" t="n">
        <x:f>F158*G158</x:f>
        <x:v>14000</x:v>
      </x:c>
      <x:c r="I158" t="n">
        <x:v>56</x:v>
      </x:c>
      <x:c r="J158" s="1" t="b">
        <x:v>1</x:v>
      </x:c>
      <x:c r="K158" t="str">
        <x:v>AI虚构SKU；不可询价、下单或映射真实欧派产品</x:v>
      </x:c>
    </x:row>
    <x:row r="159">
      <x:c r="A159" t="str">
        <x:v>OP-PUB-040-SKU-2</x:v>
      </x:c>
      <x:c r="B159" t="str">
        <x:v>OP-PUB-040</x:v>
      </x:c>
      <x:c r="C159" t="str">
        <x:v>电视柜</x:v>
      </x:c>
      <x:c r="D159" t="str">
        <x:v>DEMO-040-2</x:v>
      </x:c>
      <x:c r="E159" t="str">
        <x:v>奶油风电视柜演示款</x:v>
      </x:c>
      <x:c r="F159" t="n">
        <x:v>1</x:v>
      </x:c>
      <x:c r="G159" s="28" t="n">
        <x:v>19000</x:v>
      </x:c>
      <x:c r="H159" s="28" t="n">
        <x:f>F159*G159</x:f>
        <x:v>19000</x:v>
      </x:c>
      <x:c r="I159" t="n">
        <x:v>63</x:v>
      </x:c>
      <x:c r="J159" s="1" t="b">
        <x:v>1</x:v>
      </x:c>
      <x:c r="K159" t="str">
        <x:v>AI虚构SKU；不可询价、下单或映射真实欧派产品</x:v>
      </x:c>
    </x:row>
    <x:row r="160">
      <x:c r="A160" t="str">
        <x:v>OP-PUB-040-SKU-3</x:v>
      </x:c>
      <x:c r="B160" t="str">
        <x:v>OP-PUB-040</x:v>
      </x:c>
      <x:c r="C160" t="str">
        <x:v>餐边柜</x:v>
      </x:c>
      <x:c r="D160" t="str">
        <x:v>DEMO-040-3</x:v>
      </x:c>
      <x:c r="E160" t="str">
        <x:v>奶油风餐边柜演示款</x:v>
      </x:c>
      <x:c r="F160" t="n">
        <x:v>1</x:v>
      </x:c>
      <x:c r="G160" s="28" t="n">
        <x:v>23000</x:v>
      </x:c>
      <x:c r="H160" s="28" t="n">
        <x:f>F160*G160</x:f>
        <x:v>23000</x:v>
      </x:c>
      <x:c r="I160" t="n">
        <x:v>70</x:v>
      </x:c>
      <x:c r="J160" s="1" t="b">
        <x:v>1</x:v>
      </x:c>
      <x:c r="K160" t="str">
        <x:v>AI虚构SKU；不可询价、下单或映射真实欧派产品</x:v>
      </x:c>
    </x:row>
    <x:row r="161">
      <x:c r="A161" t="str">
        <x:v>OP-PUB-040-SKU-4</x:v>
      </x:c>
      <x:c r="B161" t="str">
        <x:v>OP-PUB-040</x:v>
      </x:c>
      <x:c r="C161" t="str">
        <x:v>衣柜</x:v>
      </x:c>
      <x:c r="D161" t="str">
        <x:v>DEMO-040-4</x:v>
      </x:c>
      <x:c r="E161" t="str">
        <x:v>奶油风衣柜演示款</x:v>
      </x:c>
      <x:c r="F161" t="n">
        <x:v>1</x:v>
      </x:c>
      <x:c r="G161" s="28" t="n">
        <x:v>27000</x:v>
      </x:c>
      <x:c r="H161" s="28" t="n">
        <x:f>F161*G161</x:f>
        <x:v>27000</x:v>
      </x:c>
      <x:c r="I161" t="n">
        <x:v>35</x:v>
      </x:c>
      <x:c r="J161" s="1" t="b">
        <x:v>1</x:v>
      </x:c>
      <x:c r="K161" t="str">
        <x:v>AI虚构SKU；不可询价、下单或映射真实欧派产品</x:v>
      </x:c>
    </x:row>
    <x:row r="162">
      <x:c r="A162" t="str">
        <x:v>OP-PUB-041-SKU-1</x:v>
      </x:c>
      <x:c r="B162" t="str">
        <x:v>OP-PUB-041</x:v>
      </x:c>
      <x:c r="C162" t="str">
        <x:v>玄关柜</x:v>
      </x:c>
      <x:c r="D162" t="str">
        <x:v>DEMO-041-1</x:v>
      </x:c>
      <x:c r="E162" t="str">
        <x:v>奶油风玄关柜演示款</x:v>
      </x:c>
      <x:c r="F162" t="n">
        <x:v>1</x:v>
      </x:c>
      <x:c r="G162" s="28" t="n">
        <x:v>12000</x:v>
      </x:c>
      <x:c r="H162" s="28" t="n">
        <x:f>F162*G162</x:f>
        <x:v>12000</x:v>
      </x:c>
      <x:c r="I162" t="n">
        <x:v>63</x:v>
      </x:c>
      <x:c r="J162" s="1" t="b">
        <x:v>1</x:v>
      </x:c>
      <x:c r="K162" t="str">
        <x:v>AI虚构SKU；不可询价、下单或映射真实欧派产品</x:v>
      </x:c>
    </x:row>
    <x:row r="163">
      <x:c r="A163" t="str">
        <x:v>OP-PUB-041-SKU-2</x:v>
      </x:c>
      <x:c r="B163" t="str">
        <x:v>OP-PUB-041</x:v>
      </x:c>
      <x:c r="C163" t="str">
        <x:v>电视柜</x:v>
      </x:c>
      <x:c r="D163" t="str">
        <x:v>DEMO-041-2</x:v>
      </x:c>
      <x:c r="E163" t="str">
        <x:v>奶油风电视柜演示款</x:v>
      </x:c>
      <x:c r="F163" t="n">
        <x:v>1</x:v>
      </x:c>
      <x:c r="G163" s="28" t="n">
        <x:v>16000</x:v>
      </x:c>
      <x:c r="H163" s="28" t="n">
        <x:f>F163*G163</x:f>
        <x:v>16000</x:v>
      </x:c>
      <x:c r="I163" t="n">
        <x:v>70</x:v>
      </x:c>
      <x:c r="J163" s="1" t="b">
        <x:v>1</x:v>
      </x:c>
      <x:c r="K163" t="str">
        <x:v>AI虚构SKU；不可询价、下单或映射真实欧派产品</x:v>
      </x:c>
    </x:row>
    <x:row r="164">
      <x:c r="A164" t="str">
        <x:v>OP-PUB-041-SKU-3</x:v>
      </x:c>
      <x:c r="B164" t="str">
        <x:v>OP-PUB-041</x:v>
      </x:c>
      <x:c r="C164" t="str">
        <x:v>餐边柜</x:v>
      </x:c>
      <x:c r="D164" t="str">
        <x:v>DEMO-041-3</x:v>
      </x:c>
      <x:c r="E164" t="str">
        <x:v>奶油风餐边柜演示款</x:v>
      </x:c>
      <x:c r="F164" t="n">
        <x:v>1</x:v>
      </x:c>
      <x:c r="G164" s="28" t="n">
        <x:v>19000</x:v>
      </x:c>
      <x:c r="H164" s="28" t="n">
        <x:f>F164*G164</x:f>
        <x:v>19000</x:v>
      </x:c>
      <x:c r="I164" t="n">
        <x:v>35</x:v>
      </x:c>
      <x:c r="J164" s="1" t="b">
        <x:v>1</x:v>
      </x:c>
      <x:c r="K164" t="str">
        <x:v>AI虚构SKU；不可询价、下单或映射真实欧派产品</x:v>
      </x:c>
    </x:row>
    <x:row r="165">
      <x:c r="A165" t="str">
        <x:v>OP-PUB-041-SKU-4</x:v>
      </x:c>
      <x:c r="B165" t="str">
        <x:v>OP-PUB-041</x:v>
      </x:c>
      <x:c r="C165" t="str">
        <x:v>衣柜</x:v>
      </x:c>
      <x:c r="D165" t="str">
        <x:v>DEMO-041-4</x:v>
      </x:c>
      <x:c r="E165" t="str">
        <x:v>奶油风衣柜演示款</x:v>
      </x:c>
      <x:c r="F165" t="n">
        <x:v>1</x:v>
      </x:c>
      <x:c r="G165" s="28" t="n">
        <x:v>23000</x:v>
      </x:c>
      <x:c r="H165" s="28" t="n">
        <x:f>F165*G165</x:f>
        <x:v>23000</x:v>
      </x:c>
      <x:c r="I165" t="n">
        <x:v>42</x:v>
      </x:c>
      <x:c r="J165" s="1" t="b">
        <x:v>1</x:v>
      </x:c>
      <x:c r="K165" t="str">
        <x:v>AI虚构SKU；不可询价、下单或映射真实欧派产品</x:v>
      </x:c>
    </x:row>
    <x:row r="166">
      <x:c r="A166" t="str">
        <x:v>OP-PUB-042-SKU-1</x:v>
      </x:c>
      <x:c r="B166" t="str">
        <x:v>OP-PUB-042</x:v>
      </x:c>
      <x:c r="C166" t="str">
        <x:v>玄关柜</x:v>
      </x:c>
      <x:c r="D166" t="str">
        <x:v>DEMO-042-1</x:v>
      </x:c>
      <x:c r="E166" t="str">
        <x:v>奶油风玄关柜演示款</x:v>
      </x:c>
      <x:c r="F166" t="n">
        <x:v>1</x:v>
      </x:c>
      <x:c r="G166" s="28" t="n">
        <x:v>13000</x:v>
      </x:c>
      <x:c r="H166" s="28" t="n">
        <x:f>F166*G166</x:f>
        <x:v>13000</x:v>
      </x:c>
      <x:c r="I166" t="n">
        <x:v>70</x:v>
      </x:c>
      <x:c r="J166" s="1" t="b">
        <x:v>1</x:v>
      </x:c>
      <x:c r="K166" t="str">
        <x:v>AI虚构SKU；不可询价、下单或映射真实欧派产品</x:v>
      </x:c>
    </x:row>
    <x:row r="167">
      <x:c r="A167" t="str">
        <x:v>OP-PUB-042-SKU-2</x:v>
      </x:c>
      <x:c r="B167" t="str">
        <x:v>OP-PUB-042</x:v>
      </x:c>
      <x:c r="C167" t="str">
        <x:v>电视柜</x:v>
      </x:c>
      <x:c r="D167" t="str">
        <x:v>DEMO-042-2</x:v>
      </x:c>
      <x:c r="E167" t="str">
        <x:v>奶油风电视柜演示款</x:v>
      </x:c>
      <x:c r="F167" t="n">
        <x:v>1</x:v>
      </x:c>
      <x:c r="G167" s="28" t="n">
        <x:v>16000</x:v>
      </x:c>
      <x:c r="H167" s="28" t="n">
        <x:f>F167*G167</x:f>
        <x:v>16000</x:v>
      </x:c>
      <x:c r="I167" t="n">
        <x:v>35</x:v>
      </x:c>
      <x:c r="J167" s="1" t="b">
        <x:v>1</x:v>
      </x:c>
      <x:c r="K167" t="str">
        <x:v>AI虚构SKU；不可询价、下单或映射真实欧派产品</x:v>
      </x:c>
    </x:row>
    <x:row r="168">
      <x:c r="A168" t="str">
        <x:v>OP-PUB-042-SKU-3</x:v>
      </x:c>
      <x:c r="B168" t="str">
        <x:v>OP-PUB-042</x:v>
      </x:c>
      <x:c r="C168" t="str">
        <x:v>餐边柜</x:v>
      </x:c>
      <x:c r="D168" t="str">
        <x:v>DEMO-042-3</x:v>
      </x:c>
      <x:c r="E168" t="str">
        <x:v>奶油风餐边柜演示款</x:v>
      </x:c>
      <x:c r="F168" t="n">
        <x:v>1</x:v>
      </x:c>
      <x:c r="G168" s="28" t="n">
        <x:v>20000</x:v>
      </x:c>
      <x:c r="H168" s="28" t="n">
        <x:f>F168*G168</x:f>
        <x:v>20000</x:v>
      </x:c>
      <x:c r="I168" t="n">
        <x:v>42</x:v>
      </x:c>
      <x:c r="J168" s="1" t="b">
        <x:v>1</x:v>
      </x:c>
      <x:c r="K168" t="str">
        <x:v>AI虚构SKU；不可询价、下单或映射真实欧派产品</x:v>
      </x:c>
    </x:row>
    <x:row r="169">
      <x:c r="A169" t="str">
        <x:v>OP-PUB-042-SKU-4</x:v>
      </x:c>
      <x:c r="B169" t="str">
        <x:v>OP-PUB-042</x:v>
      </x:c>
      <x:c r="C169" t="str">
        <x:v>衣柜</x:v>
      </x:c>
      <x:c r="D169" t="str">
        <x:v>DEMO-042-4</x:v>
      </x:c>
      <x:c r="E169" t="str">
        <x:v>奶油风衣柜演示款</x:v>
      </x:c>
      <x:c r="F169" t="n">
        <x:v>1</x:v>
      </x:c>
      <x:c r="G169" s="28" t="n">
        <x:v>24000</x:v>
      </x:c>
      <x:c r="H169" s="28" t="n">
        <x:f>F169*G169</x:f>
        <x:v>24000</x:v>
      </x:c>
      <x:c r="I169" t="n">
        <x:v>49</x:v>
      </x:c>
      <x:c r="J169" s="1" t="b">
        <x:v>1</x:v>
      </x:c>
      <x:c r="K169" t="str">
        <x:v>AI虚构SKU；不可询价、下单或映射真实欧派产品</x:v>
      </x:c>
    </x:row>
    <x:row r="170">
      <x:c r="A170" t="str">
        <x:v>OP-PUB-043-SKU-1</x:v>
      </x:c>
      <x:c r="B170" t="str">
        <x:v>OP-PUB-043</x:v>
      </x:c>
      <x:c r="C170" t="str">
        <x:v>玄关柜</x:v>
      </x:c>
      <x:c r="D170" t="str">
        <x:v>DEMO-043-1</x:v>
      </x:c>
      <x:c r="E170" t="str">
        <x:v>现代原木玄关柜演示款</x:v>
      </x:c>
      <x:c r="F170" t="n">
        <x:v>1</x:v>
      </x:c>
      <x:c r="G170" s="28" t="n">
        <x:v>13000</x:v>
      </x:c>
      <x:c r="H170" s="28" t="n">
        <x:f>F170*G170</x:f>
        <x:v>13000</x:v>
      </x:c>
      <x:c r="I170" t="n">
        <x:v>35</x:v>
      </x:c>
      <x:c r="J170" s="1" t="b">
        <x:v>1</x:v>
      </x:c>
      <x:c r="K170" t="str">
        <x:v>AI虚构SKU；不可询价、下单或映射真实欧派产品</x:v>
      </x:c>
    </x:row>
    <x:row r="171">
      <x:c r="A171" t="str">
        <x:v>OP-PUB-043-SKU-2</x:v>
      </x:c>
      <x:c r="B171" t="str">
        <x:v>OP-PUB-043</x:v>
      </x:c>
      <x:c r="C171" t="str">
        <x:v>电视柜</x:v>
      </x:c>
      <x:c r="D171" t="str">
        <x:v>DEMO-043-2</x:v>
      </x:c>
      <x:c r="E171" t="str">
        <x:v>现代原木电视柜演示款</x:v>
      </x:c>
      <x:c r="F171" t="n">
        <x:v>1</x:v>
      </x:c>
      <x:c r="G171" s="28" t="n">
        <x:v>17000</x:v>
      </x:c>
      <x:c r="H171" s="28" t="n">
        <x:f>F171*G171</x:f>
        <x:v>17000</x:v>
      </x:c>
      <x:c r="I171" t="n">
        <x:v>42</x:v>
      </x:c>
      <x:c r="J171" s="1" t="b">
        <x:v>1</x:v>
      </x:c>
      <x:c r="K171" t="str">
        <x:v>AI虚构SKU；不可询价、下单或映射真实欧派产品</x:v>
      </x:c>
    </x:row>
    <x:row r="172">
      <x:c r="A172" t="str">
        <x:v>OP-PUB-043-SKU-3</x:v>
      </x:c>
      <x:c r="B172" t="str">
        <x:v>OP-PUB-043</x:v>
      </x:c>
      <x:c r="C172" t="str">
        <x:v>餐边柜</x:v>
      </x:c>
      <x:c r="D172" t="str">
        <x:v>DEMO-043-3</x:v>
      </x:c>
      <x:c r="E172" t="str">
        <x:v>现代原木餐边柜演示款</x:v>
      </x:c>
      <x:c r="F172" t="n">
        <x:v>1</x:v>
      </x:c>
      <x:c r="G172" s="28" t="n">
        <x:v>21000</x:v>
      </x:c>
      <x:c r="H172" s="28" t="n">
        <x:f>F172*G172</x:f>
        <x:v>21000</x:v>
      </x:c>
      <x:c r="I172" t="n">
        <x:v>49</x:v>
      </x:c>
      <x:c r="J172" s="1" t="b">
        <x:v>1</x:v>
      </x:c>
      <x:c r="K172" t="str">
        <x:v>AI虚构SKU；不可询价、下单或映射真实欧派产品</x:v>
      </x:c>
    </x:row>
    <x:row r="173">
      <x:c r="A173" t="str">
        <x:v>OP-PUB-043-SKU-4</x:v>
      </x:c>
      <x:c r="B173" t="str">
        <x:v>OP-PUB-043</x:v>
      </x:c>
      <x:c r="C173" t="str">
        <x:v>衣柜</x:v>
      </x:c>
      <x:c r="D173" t="str">
        <x:v>DEMO-043-4</x:v>
      </x:c>
      <x:c r="E173" t="str">
        <x:v>现代原木衣柜演示款</x:v>
      </x:c>
      <x:c r="F173" t="n">
        <x:v>1</x:v>
      </x:c>
      <x:c r="G173" s="28" t="n">
        <x:v>25000</x:v>
      </x:c>
      <x:c r="H173" s="28" t="n">
        <x:f>F173*G173</x:f>
        <x:v>25000</x:v>
      </x:c>
      <x:c r="I173" t="n">
        <x:v>56</x:v>
      </x:c>
      <x:c r="J173" s="1" t="b">
        <x:v>1</x:v>
      </x:c>
      <x:c r="K173" t="str">
        <x:v>AI虚构SKU；不可询价、下单或映射真实欧派产品</x:v>
      </x:c>
    </x:row>
    <x:row r="174">
      <x:c r="A174" t="str">
        <x:v>OP-PUB-044-SKU-1</x:v>
      </x:c>
      <x:c r="B174" t="str">
        <x:v>OP-PUB-044</x:v>
      </x:c>
      <x:c r="C174" t="str">
        <x:v>玄关柜</x:v>
      </x:c>
      <x:c r="D174" t="str">
        <x:v>DEMO-044-1</x:v>
      </x:c>
      <x:c r="E174" t="str">
        <x:v>奶油风玄关柜演示款</x:v>
      </x:c>
      <x:c r="F174" t="n">
        <x:v>1</x:v>
      </x:c>
      <x:c r="G174" s="28" t="n">
        <x:v>14000</x:v>
      </x:c>
      <x:c r="H174" s="28" t="n">
        <x:f>F174*G174</x:f>
        <x:v>14000</x:v>
      </x:c>
      <x:c r="I174" t="n">
        <x:v>42</x:v>
      </x:c>
      <x:c r="J174" s="1" t="b">
        <x:v>1</x:v>
      </x:c>
      <x:c r="K174" t="str">
        <x:v>AI虚构SKU；不可询价、下单或映射真实欧派产品</x:v>
      </x:c>
    </x:row>
    <x:row r="175">
      <x:c r="A175" t="str">
        <x:v>OP-PUB-044-SKU-2</x:v>
      </x:c>
      <x:c r="B175" t="str">
        <x:v>OP-PUB-044</x:v>
      </x:c>
      <x:c r="C175" t="str">
        <x:v>电视柜</x:v>
      </x:c>
      <x:c r="D175" t="str">
        <x:v>DEMO-044-2</x:v>
      </x:c>
      <x:c r="E175" t="str">
        <x:v>奶油风电视柜演示款</x:v>
      </x:c>
      <x:c r="F175" t="n">
        <x:v>1</x:v>
      </x:c>
      <x:c r="G175" s="28" t="n">
        <x:v>18000</x:v>
      </x:c>
      <x:c r="H175" s="28" t="n">
        <x:f>F175*G175</x:f>
        <x:v>18000</x:v>
      </x:c>
      <x:c r="I175" t="n">
        <x:v>49</x:v>
      </x:c>
      <x:c r="J175" s="1" t="b">
        <x:v>1</x:v>
      </x:c>
      <x:c r="K175" t="str">
        <x:v>AI虚构SKU；不可询价、下单或映射真实欧派产品</x:v>
      </x:c>
    </x:row>
    <x:row r="176">
      <x:c r="A176" t="str">
        <x:v>OP-PUB-044-SKU-3</x:v>
      </x:c>
      <x:c r="B176" t="str">
        <x:v>OP-PUB-044</x:v>
      </x:c>
      <x:c r="C176" t="str">
        <x:v>餐边柜</x:v>
      </x:c>
      <x:c r="D176" t="str">
        <x:v>DEMO-044-3</x:v>
      </x:c>
      <x:c r="E176" t="str">
        <x:v>奶油风餐边柜演示款</x:v>
      </x:c>
      <x:c r="F176" t="n">
        <x:v>1</x:v>
      </x:c>
      <x:c r="G176" s="28" t="n">
        <x:v>22000</x:v>
      </x:c>
      <x:c r="H176" s="28" t="n">
        <x:f>F176*G176</x:f>
        <x:v>22000</x:v>
      </x:c>
      <x:c r="I176" t="n">
        <x:v>56</x:v>
      </x:c>
      <x:c r="J176" s="1" t="b">
        <x:v>1</x:v>
      </x:c>
      <x:c r="K176" t="str">
        <x:v>AI虚构SKU；不可询价、下单或映射真实欧派产品</x:v>
      </x:c>
    </x:row>
    <x:row r="177">
      <x:c r="A177" t="str">
        <x:v>OP-PUB-044-SKU-4</x:v>
      </x:c>
      <x:c r="B177" t="str">
        <x:v>OP-PUB-044</x:v>
      </x:c>
      <x:c r="C177" t="str">
        <x:v>衣柜</x:v>
      </x:c>
      <x:c r="D177" t="str">
        <x:v>DEMO-044-4</x:v>
      </x:c>
      <x:c r="E177" t="str">
        <x:v>奶油风衣柜演示款</x:v>
      </x:c>
      <x:c r="F177" t="n">
        <x:v>1</x:v>
      </x:c>
      <x:c r="G177" s="28" t="n">
        <x:v>26000</x:v>
      </x:c>
      <x:c r="H177" s="28" t="n">
        <x:f>F177*G177</x:f>
        <x:v>26000</x:v>
      </x:c>
      <x:c r="I177" t="n">
        <x:v>63</x:v>
      </x:c>
      <x:c r="J177" s="1" t="b">
        <x:v>1</x:v>
      </x:c>
      <x:c r="K177" t="str">
        <x:v>AI虚构SKU；不可询价、下单或映射真实欧派产品</x:v>
      </x:c>
    </x:row>
    <x:row r="178">
      <x:c r="A178" t="str">
        <x:v>OP-PUB-045-SKU-1</x:v>
      </x:c>
      <x:c r="B178" t="str">
        <x:v>OP-PUB-045</x:v>
      </x:c>
      <x:c r="C178" t="str">
        <x:v>玄关柜</x:v>
      </x:c>
      <x:c r="D178" t="str">
        <x:v>DEMO-045-1</x:v>
      </x:c>
      <x:c r="E178" t="str">
        <x:v>现代轻奢玄关柜演示款</x:v>
      </x:c>
      <x:c r="F178" t="n">
        <x:v>1</x:v>
      </x:c>
      <x:c r="G178" s="28" t="n">
        <x:v>14000</x:v>
      </x:c>
      <x:c r="H178" s="28" t="n">
        <x:f>F178*G178</x:f>
        <x:v>14000</x:v>
      </x:c>
      <x:c r="I178" t="n">
        <x:v>49</x:v>
      </x:c>
      <x:c r="J178" s="1" t="b">
        <x:v>1</x:v>
      </x:c>
      <x:c r="K178" t="str">
        <x:v>AI虚构SKU；不可询价、下单或映射真实欧派产品</x:v>
      </x:c>
    </x:row>
    <x:row r="179">
      <x:c r="A179" t="str">
        <x:v>OP-PUB-045-SKU-2</x:v>
      </x:c>
      <x:c r="B179" t="str">
        <x:v>OP-PUB-045</x:v>
      </x:c>
      <x:c r="C179" t="str">
        <x:v>电视柜</x:v>
      </x:c>
      <x:c r="D179" t="str">
        <x:v>DEMO-045-2</x:v>
      </x:c>
      <x:c r="E179" t="str">
        <x:v>现代轻奢电视柜演示款</x:v>
      </x:c>
      <x:c r="F179" t="n">
        <x:v>1</x:v>
      </x:c>
      <x:c r="G179" s="28" t="n">
        <x:v>19000</x:v>
      </x:c>
      <x:c r="H179" s="28" t="n">
        <x:f>F179*G179</x:f>
        <x:v>19000</x:v>
      </x:c>
      <x:c r="I179" t="n">
        <x:v>56</x:v>
      </x:c>
      <x:c r="J179" s="1" t="b">
        <x:v>1</x:v>
      </x:c>
      <x:c r="K179" t="str">
        <x:v>AI虚构SKU；不可询价、下单或映射真实欧派产品</x:v>
      </x:c>
    </x:row>
    <x:row r="180">
      <x:c r="A180" t="str">
        <x:v>OP-PUB-045-SKU-3</x:v>
      </x:c>
      <x:c r="B180" t="str">
        <x:v>OP-PUB-045</x:v>
      </x:c>
      <x:c r="C180" t="str">
        <x:v>餐边柜</x:v>
      </x:c>
      <x:c r="D180" t="str">
        <x:v>DEMO-045-3</x:v>
      </x:c>
      <x:c r="E180" t="str">
        <x:v>现代轻奢餐边柜演示款</x:v>
      </x:c>
      <x:c r="F180" t="n">
        <x:v>1</x:v>
      </x:c>
      <x:c r="G180" s="28" t="n">
        <x:v>23000</x:v>
      </x:c>
      <x:c r="H180" s="28" t="n">
        <x:f>F180*G180</x:f>
        <x:v>23000</x:v>
      </x:c>
      <x:c r="I180" t="n">
        <x:v>63</x:v>
      </x:c>
      <x:c r="J180" s="1" t="b">
        <x:v>1</x:v>
      </x:c>
      <x:c r="K180" t="str">
        <x:v>AI虚构SKU；不可询价、下单或映射真实欧派产品</x:v>
      </x:c>
    </x:row>
    <x:row r="181">
      <x:c r="A181" t="str">
        <x:v>OP-PUB-045-SKU-4</x:v>
      </x:c>
      <x:c r="B181" t="str">
        <x:v>OP-PUB-045</x:v>
      </x:c>
      <x:c r="C181" t="str">
        <x:v>衣柜</x:v>
      </x:c>
      <x:c r="D181" t="str">
        <x:v>DEMO-045-4</x:v>
      </x:c>
      <x:c r="E181" t="str">
        <x:v>现代轻奢衣柜演示款</x:v>
      </x:c>
      <x:c r="F181" t="n">
        <x:v>1</x:v>
      </x:c>
      <x:c r="G181" s="28" t="n">
        <x:v>27000</x:v>
      </x:c>
      <x:c r="H181" s="28" t="n">
        <x:f>F181*G181</x:f>
        <x:v>27000</x:v>
      </x:c>
      <x:c r="I181" t="n">
        <x:v>70</x:v>
      </x:c>
      <x:c r="J181" s="1" t="b">
        <x:v>1</x:v>
      </x:c>
      <x:c r="K181" t="str">
        <x:v>AI虚构SKU；不可询价、下单或映射真实欧派产品</x:v>
      </x:c>
    </x:row>
    <x:row r="182">
      <x:c r="A182" t="str">
        <x:v>OP-AI-001-SKU-1</x:v>
      </x:c>
      <x:c r="B182" t="str">
        <x:v>OP-AI-001</x:v>
      </x:c>
      <x:c r="C182" t="str">
        <x:v>玄关柜</x:v>
      </x:c>
      <x:c r="D182" t="str">
        <x:v>DEMO-046-1</x:v>
      </x:c>
      <x:c r="E182" t="str">
        <x:v>奶油风玄关柜演示款</x:v>
      </x:c>
      <x:c r="F182" t="n">
        <x:v>1</x:v>
      </x:c>
      <x:c r="G182" s="28" t="n">
        <x:v>12000</x:v>
      </x:c>
      <x:c r="H182" s="28" t="n">
        <x:f>F182*G182</x:f>
        <x:v>12000</x:v>
      </x:c>
      <x:c r="I182" t="n">
        <x:v>56</x:v>
      </x:c>
      <x:c r="J182" s="1" t="b">
        <x:v>1</x:v>
      </x:c>
      <x:c r="K182" t="str">
        <x:v>AI虚构SKU；不可询价、下单或映射真实欧派产品</x:v>
      </x:c>
    </x:row>
    <x:row r="183">
      <x:c r="A183" t="str">
        <x:v>OP-AI-001-SKU-2</x:v>
      </x:c>
      <x:c r="B183" t="str">
        <x:v>OP-AI-001</x:v>
      </x:c>
      <x:c r="C183" t="str">
        <x:v>电视柜</x:v>
      </x:c>
      <x:c r="D183" t="str">
        <x:v>DEMO-046-2</x:v>
      </x:c>
      <x:c r="E183" t="str">
        <x:v>奶油风电视柜演示款</x:v>
      </x:c>
      <x:c r="F183" t="n">
        <x:v>1</x:v>
      </x:c>
      <x:c r="G183" s="28" t="n">
        <x:v>16000</x:v>
      </x:c>
      <x:c r="H183" s="28" t="n">
        <x:f>F183*G183</x:f>
        <x:v>16000</x:v>
      </x:c>
      <x:c r="I183" t="n">
        <x:v>63</x:v>
      </x:c>
      <x:c r="J183" s="1" t="b">
        <x:v>1</x:v>
      </x:c>
      <x:c r="K183" t="str">
        <x:v>AI虚构SKU；不可询价、下单或映射真实欧派产品</x:v>
      </x:c>
    </x:row>
    <x:row r="184">
      <x:c r="A184" t="str">
        <x:v>OP-AI-001-SKU-3</x:v>
      </x:c>
      <x:c r="B184" t="str">
        <x:v>OP-AI-001</x:v>
      </x:c>
      <x:c r="C184" t="str">
        <x:v>餐边柜</x:v>
      </x:c>
      <x:c r="D184" t="str">
        <x:v>DEMO-046-3</x:v>
      </x:c>
      <x:c r="E184" t="str">
        <x:v>奶油风餐边柜演示款</x:v>
      </x:c>
      <x:c r="F184" t="n">
        <x:v>1</x:v>
      </x:c>
      <x:c r="G184" s="28" t="n">
        <x:v>19000</x:v>
      </x:c>
      <x:c r="H184" s="28" t="n">
        <x:f>F184*G184</x:f>
        <x:v>19000</x:v>
      </x:c>
      <x:c r="I184" t="n">
        <x:v>70</x:v>
      </x:c>
      <x:c r="J184" s="1" t="b">
        <x:v>1</x:v>
      </x:c>
      <x:c r="K184" t="str">
        <x:v>AI虚构SKU；不可询价、下单或映射真实欧派产品</x:v>
      </x:c>
    </x:row>
    <x:row r="185">
      <x:c r="A185" t="str">
        <x:v>OP-AI-001-SKU-4</x:v>
      </x:c>
      <x:c r="B185" t="str">
        <x:v>OP-AI-001</x:v>
      </x:c>
      <x:c r="C185" t="str">
        <x:v>衣柜</x:v>
      </x:c>
      <x:c r="D185" t="str">
        <x:v>DEMO-046-4</x:v>
      </x:c>
      <x:c r="E185" t="str">
        <x:v>奶油风衣柜演示款</x:v>
      </x:c>
      <x:c r="F185" t="n">
        <x:v>1</x:v>
      </x:c>
      <x:c r="G185" s="28" t="n">
        <x:v>23000</x:v>
      </x:c>
      <x:c r="H185" s="28" t="n">
        <x:f>F185*G185</x:f>
        <x:v>23000</x:v>
      </x:c>
      <x:c r="I185" t="n">
        <x:v>35</x:v>
      </x:c>
      <x:c r="J185" s="1" t="b">
        <x:v>1</x:v>
      </x:c>
      <x:c r="K185" t="str">
        <x:v>AI虚构SKU；不可询价、下单或映射真实欧派产品</x:v>
      </x:c>
    </x:row>
    <x:row r="186">
      <x:c r="A186" t="str">
        <x:v>OP-AI-002-SKU-1</x:v>
      </x:c>
      <x:c r="B186" t="str">
        <x:v>OP-AI-002</x:v>
      </x:c>
      <x:c r="C186" t="str">
        <x:v>玄关柜</x:v>
      </x:c>
      <x:c r="D186" t="str">
        <x:v>DEMO-047-1</x:v>
      </x:c>
      <x:c r="E186" t="str">
        <x:v>现代原木玄关柜演示款</x:v>
      </x:c>
      <x:c r="F186" t="n">
        <x:v>1</x:v>
      </x:c>
      <x:c r="G186" s="28" t="n">
        <x:v>13000</x:v>
      </x:c>
      <x:c r="H186" s="28" t="n">
        <x:f>F186*G186</x:f>
        <x:v>13000</x:v>
      </x:c>
      <x:c r="I186" t="n">
        <x:v>63</x:v>
      </x:c>
      <x:c r="J186" s="1" t="b">
        <x:v>1</x:v>
      </x:c>
      <x:c r="K186" t="str">
        <x:v>AI虚构SKU；不可询价、下单或映射真实欧派产品</x:v>
      </x:c>
    </x:row>
    <x:row r="187">
      <x:c r="A187" t="str">
        <x:v>OP-AI-002-SKU-2</x:v>
      </x:c>
      <x:c r="B187" t="str">
        <x:v>OP-AI-002</x:v>
      </x:c>
      <x:c r="C187" t="str">
        <x:v>电视柜</x:v>
      </x:c>
      <x:c r="D187" t="str">
        <x:v>DEMO-047-2</x:v>
      </x:c>
      <x:c r="E187" t="str">
        <x:v>现代原木电视柜演示款</x:v>
      </x:c>
      <x:c r="F187" t="n">
        <x:v>1</x:v>
      </x:c>
      <x:c r="G187" s="28" t="n">
        <x:v>16000</x:v>
      </x:c>
      <x:c r="H187" s="28" t="n">
        <x:f>F187*G187</x:f>
        <x:v>16000</x:v>
      </x:c>
      <x:c r="I187" t="n">
        <x:v>70</x:v>
      </x:c>
      <x:c r="J187" s="1" t="b">
        <x:v>1</x:v>
      </x:c>
      <x:c r="K187" t="str">
        <x:v>AI虚构SKU；不可询价、下单或映射真实欧派产品</x:v>
      </x:c>
    </x:row>
    <x:row r="188">
      <x:c r="A188" t="str">
        <x:v>OP-AI-002-SKU-3</x:v>
      </x:c>
      <x:c r="B188" t="str">
        <x:v>OP-AI-002</x:v>
      </x:c>
      <x:c r="C188" t="str">
        <x:v>餐边柜</x:v>
      </x:c>
      <x:c r="D188" t="str">
        <x:v>DEMO-047-3</x:v>
      </x:c>
      <x:c r="E188" t="str">
        <x:v>现代原木餐边柜演示款</x:v>
      </x:c>
      <x:c r="F188" t="n">
        <x:v>1</x:v>
      </x:c>
      <x:c r="G188" s="28" t="n">
        <x:v>20000</x:v>
      </x:c>
      <x:c r="H188" s="28" t="n">
        <x:f>F188*G188</x:f>
        <x:v>20000</x:v>
      </x:c>
      <x:c r="I188" t="n">
        <x:v>35</x:v>
      </x:c>
      <x:c r="J188" s="1" t="b">
        <x:v>1</x:v>
      </x:c>
      <x:c r="K188" t="str">
        <x:v>AI虚构SKU；不可询价、下单或映射真实欧派产品</x:v>
      </x:c>
    </x:row>
    <x:row r="189">
      <x:c r="A189" t="str">
        <x:v>OP-AI-002-SKU-4</x:v>
      </x:c>
      <x:c r="B189" t="str">
        <x:v>OP-AI-002</x:v>
      </x:c>
      <x:c r="C189" t="str">
        <x:v>衣柜</x:v>
      </x:c>
      <x:c r="D189" t="str">
        <x:v>DEMO-047-4</x:v>
      </x:c>
      <x:c r="E189" t="str">
        <x:v>现代原木衣柜演示款</x:v>
      </x:c>
      <x:c r="F189" t="n">
        <x:v>1</x:v>
      </x:c>
      <x:c r="G189" s="28" t="n">
        <x:v>24000</x:v>
      </x:c>
      <x:c r="H189" s="28" t="n">
        <x:f>F189*G189</x:f>
        <x:v>24000</x:v>
      </x:c>
      <x:c r="I189" t="n">
        <x:v>42</x:v>
      </x:c>
      <x:c r="J189" s="1" t="b">
        <x:v>1</x:v>
      </x:c>
      <x:c r="K189" t="str">
        <x:v>AI虚构SKU；不可询价、下单或映射真实欧派产品</x:v>
      </x:c>
    </x:row>
    <x:row r="190">
      <x:c r="A190" t="str">
        <x:v>OP-AI-003-SKU-1</x:v>
      </x:c>
      <x:c r="B190" t="str">
        <x:v>OP-AI-003</x:v>
      </x:c>
      <x:c r="C190" t="str">
        <x:v>玄关柜</x:v>
      </x:c>
      <x:c r="D190" t="str">
        <x:v>DEMO-048-1</x:v>
      </x:c>
      <x:c r="E190" t="str">
        <x:v>新中式玄关柜演示款</x:v>
      </x:c>
      <x:c r="F190" t="n">
        <x:v>1</x:v>
      </x:c>
      <x:c r="G190" s="28" t="n">
        <x:v>13000</x:v>
      </x:c>
      <x:c r="H190" s="28" t="n">
        <x:f>F190*G190</x:f>
        <x:v>13000</x:v>
      </x:c>
      <x:c r="I190" t="n">
        <x:v>70</x:v>
      </x:c>
      <x:c r="J190" s="1" t="b">
        <x:v>1</x:v>
      </x:c>
      <x:c r="K190" t="str">
        <x:v>AI虚构SKU；不可询价、下单或映射真实欧派产品</x:v>
      </x:c>
    </x:row>
    <x:row r="191">
      <x:c r="A191" t="str">
        <x:v>OP-AI-003-SKU-2</x:v>
      </x:c>
      <x:c r="B191" t="str">
        <x:v>OP-AI-003</x:v>
      </x:c>
      <x:c r="C191" t="str">
        <x:v>电视柜</x:v>
      </x:c>
      <x:c r="D191" t="str">
        <x:v>DEMO-048-2</x:v>
      </x:c>
      <x:c r="E191" t="str">
        <x:v>新中式电视柜演示款</x:v>
      </x:c>
      <x:c r="F191" t="n">
        <x:v>1</x:v>
      </x:c>
      <x:c r="G191" s="28" t="n">
        <x:v>17000</x:v>
      </x:c>
      <x:c r="H191" s="28" t="n">
        <x:f>F191*G191</x:f>
        <x:v>17000</x:v>
      </x:c>
      <x:c r="I191" t="n">
        <x:v>35</x:v>
      </x:c>
      <x:c r="J191" s="1" t="b">
        <x:v>1</x:v>
      </x:c>
      <x:c r="K191" t="str">
        <x:v>AI虚构SKU；不可询价、下单或映射真实欧派产品</x:v>
      </x:c>
    </x:row>
    <x:row r="192">
      <x:c r="A192" t="str">
        <x:v>OP-AI-003-SKU-3</x:v>
      </x:c>
      <x:c r="B192" t="str">
        <x:v>OP-AI-003</x:v>
      </x:c>
      <x:c r="C192" t="str">
        <x:v>餐边柜</x:v>
      </x:c>
      <x:c r="D192" t="str">
        <x:v>DEMO-048-3</x:v>
      </x:c>
      <x:c r="E192" t="str">
        <x:v>新中式餐边柜演示款</x:v>
      </x:c>
      <x:c r="F192" t="n">
        <x:v>1</x:v>
      </x:c>
      <x:c r="G192" s="28" t="n">
        <x:v>21000</x:v>
      </x:c>
      <x:c r="H192" s="28" t="n">
        <x:f>F192*G192</x:f>
        <x:v>21000</x:v>
      </x:c>
      <x:c r="I192" t="n">
        <x:v>42</x:v>
      </x:c>
      <x:c r="J192" s="1" t="b">
        <x:v>1</x:v>
      </x:c>
      <x:c r="K192" t="str">
        <x:v>AI虚构SKU；不可询价、下单或映射真实欧派产品</x:v>
      </x:c>
    </x:row>
    <x:row r="193">
      <x:c r="A193" t="str">
        <x:v>OP-AI-003-SKU-4</x:v>
      </x:c>
      <x:c r="B193" t="str">
        <x:v>OP-AI-003</x:v>
      </x:c>
      <x:c r="C193" t="str">
        <x:v>衣柜</x:v>
      </x:c>
      <x:c r="D193" t="str">
        <x:v>DEMO-048-4</x:v>
      </x:c>
      <x:c r="E193" t="str">
        <x:v>新中式衣柜演示款</x:v>
      </x:c>
      <x:c r="F193" t="n">
        <x:v>1</x:v>
      </x:c>
      <x:c r="G193" s="28" t="n">
        <x:v>25000</x:v>
      </x:c>
      <x:c r="H193" s="28" t="n">
        <x:f>F193*G193</x:f>
        <x:v>25000</x:v>
      </x:c>
      <x:c r="I193" t="n">
        <x:v>49</x:v>
      </x:c>
      <x:c r="J193" s="1" t="b">
        <x:v>1</x:v>
      </x:c>
      <x:c r="K193" t="str">
        <x:v>AI虚构SKU；不可询价、下单或映射真实欧派产品</x:v>
      </x:c>
    </x:row>
    <x:row r="194">
      <x:c r="A194" t="str">
        <x:v>OP-AI-004-SKU-1</x:v>
      </x:c>
      <x:c r="B194" t="str">
        <x:v>OP-AI-004</x:v>
      </x:c>
      <x:c r="C194" t="str">
        <x:v>玄关柜</x:v>
      </x:c>
      <x:c r="D194" t="str">
        <x:v>DEMO-049-1</x:v>
      </x:c>
      <x:c r="E194" t="str">
        <x:v>现代轻奢玄关柜演示款</x:v>
      </x:c>
      <x:c r="F194" t="n">
        <x:v>1</x:v>
      </x:c>
      <x:c r="G194" s="28" t="n">
        <x:v>14000</x:v>
      </x:c>
      <x:c r="H194" s="28" t="n">
        <x:f>F194*G194</x:f>
        <x:v>14000</x:v>
      </x:c>
      <x:c r="I194" t="n">
        <x:v>35</x:v>
      </x:c>
      <x:c r="J194" s="1" t="b">
        <x:v>1</x:v>
      </x:c>
      <x:c r="K194" t="str">
        <x:v>AI虚构SKU；不可询价、下单或映射真实欧派产品</x:v>
      </x:c>
    </x:row>
    <x:row r="195">
      <x:c r="A195" t="str">
        <x:v>OP-AI-004-SKU-2</x:v>
      </x:c>
      <x:c r="B195" t="str">
        <x:v>OP-AI-004</x:v>
      </x:c>
      <x:c r="C195" t="str">
        <x:v>电视柜</x:v>
      </x:c>
      <x:c r="D195" t="str">
        <x:v>DEMO-049-2</x:v>
      </x:c>
      <x:c r="E195" t="str">
        <x:v>现代轻奢电视柜演示款</x:v>
      </x:c>
      <x:c r="F195" t="n">
        <x:v>1</x:v>
      </x:c>
      <x:c r="G195" s="28" t="n">
        <x:v>18000</x:v>
      </x:c>
      <x:c r="H195" s="28" t="n">
        <x:f>F195*G195</x:f>
        <x:v>18000</x:v>
      </x:c>
      <x:c r="I195" t="n">
        <x:v>42</x:v>
      </x:c>
      <x:c r="J195" s="1" t="b">
        <x:v>1</x:v>
      </x:c>
      <x:c r="K195" t="str">
        <x:v>AI虚构SKU；不可询价、下单或映射真实欧派产品</x:v>
      </x:c>
    </x:row>
    <x:row r="196">
      <x:c r="A196" t="str">
        <x:v>OP-AI-004-SKU-3</x:v>
      </x:c>
      <x:c r="B196" t="str">
        <x:v>OP-AI-004</x:v>
      </x:c>
      <x:c r="C196" t="str">
        <x:v>餐边柜</x:v>
      </x:c>
      <x:c r="D196" t="str">
        <x:v>DEMO-049-3</x:v>
      </x:c>
      <x:c r="E196" t="str">
        <x:v>现代轻奢餐边柜演示款</x:v>
      </x:c>
      <x:c r="F196" t="n">
        <x:v>1</x:v>
      </x:c>
      <x:c r="G196" s="28" t="n">
        <x:v>22000</x:v>
      </x:c>
      <x:c r="H196" s="28" t="n">
        <x:f>F196*G196</x:f>
        <x:v>22000</x:v>
      </x:c>
      <x:c r="I196" t="n">
        <x:v>49</x:v>
      </x:c>
      <x:c r="J196" s="1" t="b">
        <x:v>1</x:v>
      </x:c>
      <x:c r="K196" t="str">
        <x:v>AI虚构SKU；不可询价、下单或映射真实欧派产品</x:v>
      </x:c>
    </x:row>
    <x:row r="197">
      <x:c r="A197" t="str">
        <x:v>OP-AI-004-SKU-4</x:v>
      </x:c>
      <x:c r="B197" t="str">
        <x:v>OP-AI-004</x:v>
      </x:c>
      <x:c r="C197" t="str">
        <x:v>衣柜</x:v>
      </x:c>
      <x:c r="D197" t="str">
        <x:v>DEMO-049-4</x:v>
      </x:c>
      <x:c r="E197" t="str">
        <x:v>现代轻奢衣柜演示款</x:v>
      </x:c>
      <x:c r="F197" t="n">
        <x:v>1</x:v>
      </x:c>
      <x:c r="G197" s="28" t="n">
        <x:v>26000</x:v>
      </x:c>
      <x:c r="H197" s="28" t="n">
        <x:f>F197*G197</x:f>
        <x:v>26000</x:v>
      </x:c>
      <x:c r="I197" t="n">
        <x:v>56</x:v>
      </x:c>
      <x:c r="J197" s="1" t="b">
        <x:v>1</x:v>
      </x:c>
      <x:c r="K197" t="str">
        <x:v>AI虚构SKU；不可询价、下单或映射真实欧派产品</x:v>
      </x:c>
    </x:row>
    <x:row r="198">
      <x:c r="A198" t="str">
        <x:v>OP-AI-005-SKU-1</x:v>
      </x:c>
      <x:c r="B198" t="str">
        <x:v>OP-AI-005</x:v>
      </x:c>
      <x:c r="C198" t="str">
        <x:v>玄关柜</x:v>
      </x:c>
      <x:c r="D198" t="str">
        <x:v>DEMO-050-1</x:v>
      </x:c>
      <x:c r="E198" t="str">
        <x:v>现代原木玄关柜演示款</x:v>
      </x:c>
      <x:c r="F198" t="n">
        <x:v>1</x:v>
      </x:c>
      <x:c r="G198" s="28" t="n">
        <x:v>14000</x:v>
      </x:c>
      <x:c r="H198" s="28" t="n">
        <x:f>F198*G198</x:f>
        <x:v>14000</x:v>
      </x:c>
      <x:c r="I198" t="n">
        <x:v>42</x:v>
      </x:c>
      <x:c r="J198" s="1" t="b">
        <x:v>1</x:v>
      </x:c>
      <x:c r="K198" t="str">
        <x:v>AI虚构SKU；不可询价、下单或映射真实欧派产品</x:v>
      </x:c>
    </x:row>
    <x:row r="199">
      <x:c r="A199" t="str">
        <x:v>OP-AI-005-SKU-2</x:v>
      </x:c>
      <x:c r="B199" t="str">
        <x:v>OP-AI-005</x:v>
      </x:c>
      <x:c r="C199" t="str">
        <x:v>电视柜</x:v>
      </x:c>
      <x:c r="D199" t="str">
        <x:v>DEMO-050-2</x:v>
      </x:c>
      <x:c r="E199" t="str">
        <x:v>现代原木电视柜演示款</x:v>
      </x:c>
      <x:c r="F199" t="n">
        <x:v>1</x:v>
      </x:c>
      <x:c r="G199" s="28" t="n">
        <x:v>19000</x:v>
      </x:c>
      <x:c r="H199" s="28" t="n">
        <x:f>F199*G199</x:f>
        <x:v>19000</x:v>
      </x:c>
      <x:c r="I199" t="n">
        <x:v>49</x:v>
      </x:c>
      <x:c r="J199" s="1" t="b">
        <x:v>1</x:v>
      </x:c>
      <x:c r="K199" t="str">
        <x:v>AI虚构SKU；不可询价、下单或映射真实欧派产品</x:v>
      </x:c>
    </x:row>
    <x:row r="200">
      <x:c r="A200" t="str">
        <x:v>OP-AI-005-SKU-3</x:v>
      </x:c>
      <x:c r="B200" t="str">
        <x:v>OP-AI-005</x:v>
      </x:c>
      <x:c r="C200" t="str">
        <x:v>餐边柜</x:v>
      </x:c>
      <x:c r="D200" t="str">
        <x:v>DEMO-050-3</x:v>
      </x:c>
      <x:c r="E200" t="str">
        <x:v>现代原木餐边柜演示款</x:v>
      </x:c>
      <x:c r="F200" t="n">
        <x:v>1</x:v>
      </x:c>
      <x:c r="G200" s="28" t="n">
        <x:v>23000</x:v>
      </x:c>
      <x:c r="H200" s="28" t="n">
        <x:f>F200*G200</x:f>
        <x:v>23000</x:v>
      </x:c>
      <x:c r="I200" t="n">
        <x:v>56</x:v>
      </x:c>
      <x:c r="J200" s="1" t="b">
        <x:v>1</x:v>
      </x:c>
      <x:c r="K200" t="str">
        <x:v>AI虚构SKU；不可询价、下单或映射真实欧派产品</x:v>
      </x:c>
    </x:row>
    <x:row r="201">
      <x:c r="A201" t="str">
        <x:v>OP-AI-005-SKU-4</x:v>
      </x:c>
      <x:c r="B201" t="str">
        <x:v>OP-AI-005</x:v>
      </x:c>
      <x:c r="C201" t="str">
        <x:v>衣柜</x:v>
      </x:c>
      <x:c r="D201" t="str">
        <x:v>DEMO-050-4</x:v>
      </x:c>
      <x:c r="E201" t="str">
        <x:v>现代原木衣柜演示款</x:v>
      </x:c>
      <x:c r="F201" t="n">
        <x:v>1</x:v>
      </x:c>
      <x:c r="G201" s="28" t="n">
        <x:v>27000</x:v>
      </x:c>
      <x:c r="H201" s="28" t="n">
        <x:f>F201*G201</x:f>
        <x:v>27000</x:v>
      </x:c>
      <x:c r="I201" t="n">
        <x:v>63</x:v>
      </x:c>
      <x:c r="J201" s="1" t="b">
        <x:v>1</x:v>
      </x:c>
      <x:c r="K201" t="str">
        <x:v>AI虚构SKU；不可询价、下单或映射真实欧派产品</x:v>
      </x:c>
    </x:row>
    <x:row r="202">
      <x:c r="A202" t="str">
        <x:v>OP-AI-006-SKU-1</x:v>
      </x:c>
      <x:c r="B202" t="str">
        <x:v>OP-AI-006</x:v>
      </x:c>
      <x:c r="C202" t="str">
        <x:v>玄关柜</x:v>
      </x:c>
      <x:c r="D202" t="str">
        <x:v>DEMO-051-1</x:v>
      </x:c>
      <x:c r="E202" t="str">
        <x:v>现代原木玄关柜演示款</x:v>
      </x:c>
      <x:c r="F202" t="n">
        <x:v>1</x:v>
      </x:c>
      <x:c r="G202" s="28" t="n">
        <x:v>12000</x:v>
      </x:c>
      <x:c r="H202" s="28" t="n">
        <x:f>F202*G202</x:f>
        <x:v>12000</x:v>
      </x:c>
      <x:c r="I202" t="n">
        <x:v>49</x:v>
      </x:c>
      <x:c r="J202" s="1" t="b">
        <x:v>1</x:v>
      </x:c>
      <x:c r="K202" t="str">
        <x:v>AI虚构SKU；不可询价、下单或映射真实欧派产品</x:v>
      </x:c>
    </x:row>
    <x:row r="203">
      <x:c r="A203" t="str">
        <x:v>OP-AI-006-SKU-2</x:v>
      </x:c>
      <x:c r="B203" t="str">
        <x:v>OP-AI-006</x:v>
      </x:c>
      <x:c r="C203" t="str">
        <x:v>电视柜</x:v>
      </x:c>
      <x:c r="D203" t="str">
        <x:v>DEMO-051-2</x:v>
      </x:c>
      <x:c r="E203" t="str">
        <x:v>现代原木电视柜演示款</x:v>
      </x:c>
      <x:c r="F203" t="n">
        <x:v>1</x:v>
      </x:c>
      <x:c r="G203" s="28" t="n">
        <x:v>16000</x:v>
      </x:c>
      <x:c r="H203" s="28" t="n">
        <x:f>F203*G203</x:f>
        <x:v>16000</x:v>
      </x:c>
      <x:c r="I203" t="n">
        <x:v>56</x:v>
      </x:c>
      <x:c r="J203" s="1" t="b">
        <x:v>1</x:v>
      </x:c>
      <x:c r="K203" t="str">
        <x:v>AI虚构SKU；不可询价、下单或映射真实欧派产品</x:v>
      </x:c>
    </x:row>
    <x:row r="204">
      <x:c r="A204" t="str">
        <x:v>OP-AI-006-SKU-3</x:v>
      </x:c>
      <x:c r="B204" t="str">
        <x:v>OP-AI-006</x:v>
      </x:c>
      <x:c r="C204" t="str">
        <x:v>餐边柜</x:v>
      </x:c>
      <x:c r="D204" t="str">
        <x:v>DEMO-051-3</x:v>
      </x:c>
      <x:c r="E204" t="str">
        <x:v>现代原木餐边柜演示款</x:v>
      </x:c>
      <x:c r="F204" t="n">
        <x:v>1</x:v>
      </x:c>
      <x:c r="G204" s="28" t="n">
        <x:v>19000</x:v>
      </x:c>
      <x:c r="H204" s="28" t="n">
        <x:f>F204*G204</x:f>
        <x:v>19000</x:v>
      </x:c>
      <x:c r="I204" t="n">
        <x:v>63</x:v>
      </x:c>
      <x:c r="J204" s="1" t="b">
        <x:v>1</x:v>
      </x:c>
      <x:c r="K204" t="str">
        <x:v>AI虚构SKU；不可询价、下单或映射真实欧派产品</x:v>
      </x:c>
    </x:row>
    <x:row r="205">
      <x:c r="A205" t="str">
        <x:v>OP-AI-006-SKU-4</x:v>
      </x:c>
      <x:c r="B205" t="str">
        <x:v>OP-AI-006</x:v>
      </x:c>
      <x:c r="C205" t="str">
        <x:v>衣柜</x:v>
      </x:c>
      <x:c r="D205" t="str">
        <x:v>DEMO-051-4</x:v>
      </x:c>
      <x:c r="E205" t="str">
        <x:v>现代原木衣柜演示款</x:v>
      </x:c>
      <x:c r="F205" t="n">
        <x:v>1</x:v>
      </x:c>
      <x:c r="G205" s="28" t="n">
        <x:v>23000</x:v>
      </x:c>
      <x:c r="H205" s="28" t="n">
        <x:f>F205*G205</x:f>
        <x:v>23000</x:v>
      </x:c>
      <x:c r="I205" t="n">
        <x:v>70</x:v>
      </x:c>
      <x:c r="J205" s="1" t="b">
        <x:v>1</x:v>
      </x:c>
      <x:c r="K205" t="str">
        <x:v>AI虚构SKU；不可询价、下单或映射真实欧派产品</x:v>
      </x:c>
    </x:row>
    <x:row r="206">
      <x:c r="A206" t="str">
        <x:v>OP-AI-007-SKU-1</x:v>
      </x:c>
      <x:c r="B206" t="str">
        <x:v>OP-AI-007</x:v>
      </x:c>
      <x:c r="C206" t="str">
        <x:v>玄关柜</x:v>
      </x:c>
      <x:c r="D206" t="str">
        <x:v>DEMO-052-1</x:v>
      </x:c>
      <x:c r="E206" t="str">
        <x:v>奶油风玄关柜演示款</x:v>
      </x:c>
      <x:c r="F206" t="n">
        <x:v>1</x:v>
      </x:c>
      <x:c r="G206" s="28" t="n">
        <x:v>13000</x:v>
      </x:c>
      <x:c r="H206" s="28" t="n">
        <x:f>F206*G206</x:f>
        <x:v>13000</x:v>
      </x:c>
      <x:c r="I206" t="n">
        <x:v>56</x:v>
      </x:c>
      <x:c r="J206" s="1" t="b">
        <x:v>1</x:v>
      </x:c>
      <x:c r="K206" t="str">
        <x:v>AI虚构SKU；不可询价、下单或映射真实欧派产品</x:v>
      </x:c>
    </x:row>
    <x:row r="207">
      <x:c r="A207" t="str">
        <x:v>OP-AI-007-SKU-2</x:v>
      </x:c>
      <x:c r="B207" t="str">
        <x:v>OP-AI-007</x:v>
      </x:c>
      <x:c r="C207" t="str">
        <x:v>电视柜</x:v>
      </x:c>
      <x:c r="D207" t="str">
        <x:v>DEMO-052-2</x:v>
      </x:c>
      <x:c r="E207" t="str">
        <x:v>奶油风电视柜演示款</x:v>
      </x:c>
      <x:c r="F207" t="n">
        <x:v>1</x:v>
      </x:c>
      <x:c r="G207" s="28" t="n">
        <x:v>16000</x:v>
      </x:c>
      <x:c r="H207" s="28" t="n">
        <x:f>F207*G207</x:f>
        <x:v>16000</x:v>
      </x:c>
      <x:c r="I207" t="n">
        <x:v>63</x:v>
      </x:c>
      <x:c r="J207" s="1" t="b">
        <x:v>1</x:v>
      </x:c>
      <x:c r="K207" t="str">
        <x:v>AI虚构SKU；不可询价、下单或映射真实欧派产品</x:v>
      </x:c>
    </x:row>
    <x:row r="208">
      <x:c r="A208" t="str">
        <x:v>OP-AI-007-SKU-3</x:v>
      </x:c>
      <x:c r="B208" t="str">
        <x:v>OP-AI-007</x:v>
      </x:c>
      <x:c r="C208" t="str">
        <x:v>餐边柜</x:v>
      </x:c>
      <x:c r="D208" t="str">
        <x:v>DEMO-052-3</x:v>
      </x:c>
      <x:c r="E208" t="str">
        <x:v>奶油风餐边柜演示款</x:v>
      </x:c>
      <x:c r="F208" t="n">
        <x:v>1</x:v>
      </x:c>
      <x:c r="G208" s="28" t="n">
        <x:v>20000</x:v>
      </x:c>
      <x:c r="H208" s="28" t="n">
        <x:f>F208*G208</x:f>
        <x:v>20000</x:v>
      </x:c>
      <x:c r="I208" t="n">
        <x:v>70</x:v>
      </x:c>
      <x:c r="J208" s="1" t="b">
        <x:v>1</x:v>
      </x:c>
      <x:c r="K208" t="str">
        <x:v>AI虚构SKU；不可询价、下单或映射真实欧派产品</x:v>
      </x:c>
    </x:row>
    <x:row r="209">
      <x:c r="A209" t="str">
        <x:v>OP-AI-007-SKU-4</x:v>
      </x:c>
      <x:c r="B209" t="str">
        <x:v>OP-AI-007</x:v>
      </x:c>
      <x:c r="C209" t="str">
        <x:v>衣柜</x:v>
      </x:c>
      <x:c r="D209" t="str">
        <x:v>DEMO-052-4</x:v>
      </x:c>
      <x:c r="E209" t="str">
        <x:v>奶油风衣柜演示款</x:v>
      </x:c>
      <x:c r="F209" t="n">
        <x:v>1</x:v>
      </x:c>
      <x:c r="G209" s="28" t="n">
        <x:v>24000</x:v>
      </x:c>
      <x:c r="H209" s="28" t="n">
        <x:f>F209*G209</x:f>
        <x:v>24000</x:v>
      </x:c>
      <x:c r="I209" t="n">
        <x:v>35</x:v>
      </x:c>
      <x:c r="J209" s="1" t="b">
        <x:v>1</x:v>
      </x:c>
      <x:c r="K209" t="str">
        <x:v>AI虚构SKU；不可询价、下单或映射真实欧派产品</x:v>
      </x:c>
    </x:row>
    <x:row r="210">
      <x:c r="A210" t="str">
        <x:v>OP-AI-008-SKU-1</x:v>
      </x:c>
      <x:c r="B210" t="str">
        <x:v>OP-AI-008</x:v>
      </x:c>
      <x:c r="C210" t="str">
        <x:v>玄关柜</x:v>
      </x:c>
      <x:c r="D210" t="str">
        <x:v>DEMO-053-1</x:v>
      </x:c>
      <x:c r="E210" t="str">
        <x:v>现代轻奢玄关柜演示款</x:v>
      </x:c>
      <x:c r="F210" t="n">
        <x:v>1</x:v>
      </x:c>
      <x:c r="G210" s="28" t="n">
        <x:v>13000</x:v>
      </x:c>
      <x:c r="H210" s="28" t="n">
        <x:f>F210*G210</x:f>
        <x:v>13000</x:v>
      </x:c>
      <x:c r="I210" t="n">
        <x:v>63</x:v>
      </x:c>
      <x:c r="J210" s="1" t="b">
        <x:v>1</x:v>
      </x:c>
      <x:c r="K210" t="str">
        <x:v>AI虚构SKU；不可询价、下单或映射真实欧派产品</x:v>
      </x:c>
    </x:row>
    <x:row r="211">
      <x:c r="A211" t="str">
        <x:v>OP-AI-008-SKU-2</x:v>
      </x:c>
      <x:c r="B211" t="str">
        <x:v>OP-AI-008</x:v>
      </x:c>
      <x:c r="C211" t="str">
        <x:v>电视柜</x:v>
      </x:c>
      <x:c r="D211" t="str">
        <x:v>DEMO-053-2</x:v>
      </x:c>
      <x:c r="E211" t="str">
        <x:v>现代轻奢电视柜演示款</x:v>
      </x:c>
      <x:c r="F211" t="n">
        <x:v>1</x:v>
      </x:c>
      <x:c r="G211" s="28" t="n">
        <x:v>17000</x:v>
      </x:c>
      <x:c r="H211" s="28" t="n">
        <x:f>F211*G211</x:f>
        <x:v>17000</x:v>
      </x:c>
      <x:c r="I211" t="n">
        <x:v>70</x:v>
      </x:c>
      <x:c r="J211" s="1" t="b">
        <x:v>1</x:v>
      </x:c>
      <x:c r="K211" t="str">
        <x:v>AI虚构SKU；不可询价、下单或映射真实欧派产品</x:v>
      </x:c>
    </x:row>
    <x:row r="212">
      <x:c r="A212" t="str">
        <x:v>OP-AI-008-SKU-3</x:v>
      </x:c>
      <x:c r="B212" t="str">
        <x:v>OP-AI-008</x:v>
      </x:c>
      <x:c r="C212" t="str">
        <x:v>餐边柜</x:v>
      </x:c>
      <x:c r="D212" t="str">
        <x:v>DEMO-053-3</x:v>
      </x:c>
      <x:c r="E212" t="str">
        <x:v>现代轻奢餐边柜演示款</x:v>
      </x:c>
      <x:c r="F212" t="n">
        <x:v>1</x:v>
      </x:c>
      <x:c r="G212" s="28" t="n">
        <x:v>21000</x:v>
      </x:c>
      <x:c r="H212" s="28" t="n">
        <x:f>F212*G212</x:f>
        <x:v>21000</x:v>
      </x:c>
      <x:c r="I212" t="n">
        <x:v>35</x:v>
      </x:c>
      <x:c r="J212" s="1" t="b">
        <x:v>1</x:v>
      </x:c>
      <x:c r="K212" t="str">
        <x:v>AI虚构SKU；不可询价、下单或映射真实欧派产品</x:v>
      </x:c>
    </x:row>
    <x:row r="213">
      <x:c r="A213" t="str">
        <x:v>OP-AI-008-SKU-4</x:v>
      </x:c>
      <x:c r="B213" t="str">
        <x:v>OP-AI-008</x:v>
      </x:c>
      <x:c r="C213" t="str">
        <x:v>衣柜</x:v>
      </x:c>
      <x:c r="D213" t="str">
        <x:v>DEMO-053-4</x:v>
      </x:c>
      <x:c r="E213" t="str">
        <x:v>现代轻奢衣柜演示款</x:v>
      </x:c>
      <x:c r="F213" t="n">
        <x:v>1</x:v>
      </x:c>
      <x:c r="G213" s="28" t="n">
        <x:v>25000</x:v>
      </x:c>
      <x:c r="H213" s="28" t="n">
        <x:f>F213*G213</x:f>
        <x:v>25000</x:v>
      </x:c>
      <x:c r="I213" t="n">
        <x:v>42</x:v>
      </x:c>
      <x:c r="J213" s="1" t="b">
        <x:v>1</x:v>
      </x:c>
      <x:c r="K213" t="str">
        <x:v>AI虚构SKU；不可询价、下单或映射真实欧派产品</x:v>
      </x:c>
    </x:row>
    <x:row r="214">
      <x:c r="A214" t="str">
        <x:v>OP-AI-009-SKU-1</x:v>
      </x:c>
      <x:c r="B214" t="str">
        <x:v>OP-AI-009</x:v>
      </x:c>
      <x:c r="C214" t="str">
        <x:v>玄关柜</x:v>
      </x:c>
      <x:c r="D214" t="str">
        <x:v>DEMO-054-1</x:v>
      </x:c>
      <x:c r="E214" t="str">
        <x:v>新中式玄关柜演示款</x:v>
      </x:c>
      <x:c r="F214" t="n">
        <x:v>1</x:v>
      </x:c>
      <x:c r="G214" s="28" t="n">
        <x:v>14000</x:v>
      </x:c>
      <x:c r="H214" s="28" t="n">
        <x:f>F214*G214</x:f>
        <x:v>14000</x:v>
      </x:c>
      <x:c r="I214" t="n">
        <x:v>70</x:v>
      </x:c>
      <x:c r="J214" s="1" t="b">
        <x:v>1</x:v>
      </x:c>
      <x:c r="K214" t="str">
        <x:v>AI虚构SKU；不可询价、下单或映射真实欧派产品</x:v>
      </x:c>
    </x:row>
    <x:row r="215">
      <x:c r="A215" t="str">
        <x:v>OP-AI-009-SKU-2</x:v>
      </x:c>
      <x:c r="B215" t="str">
        <x:v>OP-AI-009</x:v>
      </x:c>
      <x:c r="C215" t="str">
        <x:v>电视柜</x:v>
      </x:c>
      <x:c r="D215" t="str">
        <x:v>DEMO-054-2</x:v>
      </x:c>
      <x:c r="E215" t="str">
        <x:v>新中式电视柜演示款</x:v>
      </x:c>
      <x:c r="F215" t="n">
        <x:v>1</x:v>
      </x:c>
      <x:c r="G215" s="28" t="n">
        <x:v>18000</x:v>
      </x:c>
      <x:c r="H215" s="28" t="n">
        <x:f>F215*G215</x:f>
        <x:v>18000</x:v>
      </x:c>
      <x:c r="I215" t="n">
        <x:v>35</x:v>
      </x:c>
      <x:c r="J215" s="1" t="b">
        <x:v>1</x:v>
      </x:c>
      <x:c r="K215" t="str">
        <x:v>AI虚构SKU；不可询价、下单或映射真实欧派产品</x:v>
      </x:c>
    </x:row>
    <x:row r="216">
      <x:c r="A216" t="str">
        <x:v>OP-AI-009-SKU-3</x:v>
      </x:c>
      <x:c r="B216" t="str">
        <x:v>OP-AI-009</x:v>
      </x:c>
      <x:c r="C216" t="str">
        <x:v>餐边柜</x:v>
      </x:c>
      <x:c r="D216" t="str">
        <x:v>DEMO-054-3</x:v>
      </x:c>
      <x:c r="E216" t="str">
        <x:v>新中式餐边柜演示款</x:v>
      </x:c>
      <x:c r="F216" t="n">
        <x:v>1</x:v>
      </x:c>
      <x:c r="G216" s="28" t="n">
        <x:v>22000</x:v>
      </x:c>
      <x:c r="H216" s="28" t="n">
        <x:f>F216*G216</x:f>
        <x:v>22000</x:v>
      </x:c>
      <x:c r="I216" t="n">
        <x:v>42</x:v>
      </x:c>
      <x:c r="J216" s="1" t="b">
        <x:v>1</x:v>
      </x:c>
      <x:c r="K216" t="str">
        <x:v>AI虚构SKU；不可询价、下单或映射真实欧派产品</x:v>
      </x:c>
    </x:row>
    <x:row r="217">
      <x:c r="A217" t="str">
        <x:v>OP-AI-009-SKU-4</x:v>
      </x:c>
      <x:c r="B217" t="str">
        <x:v>OP-AI-009</x:v>
      </x:c>
      <x:c r="C217" t="str">
        <x:v>衣柜</x:v>
      </x:c>
      <x:c r="D217" t="str">
        <x:v>DEMO-054-4</x:v>
      </x:c>
      <x:c r="E217" t="str">
        <x:v>新中式衣柜演示款</x:v>
      </x:c>
      <x:c r="F217" t="n">
        <x:v>1</x:v>
      </x:c>
      <x:c r="G217" s="28" t="n">
        <x:v>26000</x:v>
      </x:c>
      <x:c r="H217" s="28" t="n">
        <x:f>F217*G217</x:f>
        <x:v>26000</x:v>
      </x:c>
      <x:c r="I217" t="n">
        <x:v>49</x:v>
      </x:c>
      <x:c r="J217" s="1" t="b">
        <x:v>1</x:v>
      </x:c>
      <x:c r="K217" t="str">
        <x:v>AI虚构SKU；不可询价、下单或映射真实欧派产品</x:v>
      </x:c>
    </x:row>
    <x:row r="218">
      <x:c r="A218" t="str">
        <x:v>OP-AI-010-SKU-1</x:v>
      </x:c>
      <x:c r="B218" t="str">
        <x:v>OP-AI-010</x:v>
      </x:c>
      <x:c r="C218" t="str">
        <x:v>玄关柜</x:v>
      </x:c>
      <x:c r="D218" t="str">
        <x:v>DEMO-055-1</x:v>
      </x:c>
      <x:c r="E218" t="str">
        <x:v>奶油风玄关柜演示款</x:v>
      </x:c>
      <x:c r="F218" t="n">
        <x:v>1</x:v>
      </x:c>
      <x:c r="G218" s="28" t="n">
        <x:v>14000</x:v>
      </x:c>
      <x:c r="H218" s="28" t="n">
        <x:f>F218*G218</x:f>
        <x:v>14000</x:v>
      </x:c>
      <x:c r="I218" t="n">
        <x:v>35</x:v>
      </x:c>
      <x:c r="J218" s="1" t="b">
        <x:v>1</x:v>
      </x:c>
      <x:c r="K218" t="str">
        <x:v>AI虚构SKU；不可询价、下单或映射真实欧派产品</x:v>
      </x:c>
    </x:row>
    <x:row r="219">
      <x:c r="A219" t="str">
        <x:v>OP-AI-010-SKU-2</x:v>
      </x:c>
      <x:c r="B219" t="str">
        <x:v>OP-AI-010</x:v>
      </x:c>
      <x:c r="C219" t="str">
        <x:v>电视柜</x:v>
      </x:c>
      <x:c r="D219" t="str">
        <x:v>DEMO-055-2</x:v>
      </x:c>
      <x:c r="E219" t="str">
        <x:v>奶油风电视柜演示款</x:v>
      </x:c>
      <x:c r="F219" t="n">
        <x:v>1</x:v>
      </x:c>
      <x:c r="G219" s="28" t="n">
        <x:v>19000</x:v>
      </x:c>
      <x:c r="H219" s="28" t="n">
        <x:f>F219*G219</x:f>
        <x:v>19000</x:v>
      </x:c>
      <x:c r="I219" t="n">
        <x:v>42</x:v>
      </x:c>
      <x:c r="J219" s="1" t="b">
        <x:v>1</x:v>
      </x:c>
      <x:c r="K219" t="str">
        <x:v>AI虚构SKU；不可询价、下单或映射真实欧派产品</x:v>
      </x:c>
    </x:row>
    <x:row r="220">
      <x:c r="A220" t="str">
        <x:v>OP-AI-010-SKU-3</x:v>
      </x:c>
      <x:c r="B220" t="str">
        <x:v>OP-AI-010</x:v>
      </x:c>
      <x:c r="C220" t="str">
        <x:v>餐边柜</x:v>
      </x:c>
      <x:c r="D220" t="str">
        <x:v>DEMO-055-3</x:v>
      </x:c>
      <x:c r="E220" t="str">
        <x:v>奶油风餐边柜演示款</x:v>
      </x:c>
      <x:c r="F220" t="n">
        <x:v>1</x:v>
      </x:c>
      <x:c r="G220" s="28" t="n">
        <x:v>23000</x:v>
      </x:c>
      <x:c r="H220" s="28" t="n">
        <x:f>F220*G220</x:f>
        <x:v>23000</x:v>
      </x:c>
      <x:c r="I220" t="n">
        <x:v>49</x:v>
      </x:c>
      <x:c r="J220" s="1" t="b">
        <x:v>1</x:v>
      </x:c>
      <x:c r="K220" t="str">
        <x:v>AI虚构SKU；不可询价、下单或映射真实欧派产品</x:v>
      </x:c>
    </x:row>
    <x:row r="221">
      <x:c r="A221" t="str">
        <x:v>OP-AI-010-SKU-4</x:v>
      </x:c>
      <x:c r="B221" t="str">
        <x:v>OP-AI-010</x:v>
      </x:c>
      <x:c r="C221" t="str">
        <x:v>衣柜</x:v>
      </x:c>
      <x:c r="D221" t="str">
        <x:v>DEMO-055-4</x:v>
      </x:c>
      <x:c r="E221" t="str">
        <x:v>奶油风衣柜演示款</x:v>
      </x:c>
      <x:c r="F221" t="n">
        <x:v>1</x:v>
      </x:c>
      <x:c r="G221" s="28" t="n">
        <x:v>27000</x:v>
      </x:c>
      <x:c r="H221" s="28" t="n">
        <x:f>F221*G221</x:f>
        <x:v>27000</x:v>
      </x:c>
      <x:c r="I221" t="n">
        <x:v>56</x:v>
      </x:c>
      <x:c r="J221" s="1" t="b">
        <x:v>1</x:v>
      </x:c>
      <x:c r="K221" t="str">
        <x:v>AI虚构SKU；不可询价、下单或映射真实欧派产品</x:v>
      </x:c>
    </x:row>
    <x:row r="222">
      <x:c r="A222" t="str">
        <x:v>OP-AI-011-SKU-1</x:v>
      </x:c>
      <x:c r="B222" t="str">
        <x:v>OP-AI-011</x:v>
      </x:c>
      <x:c r="C222" t="str">
        <x:v>玄关柜</x:v>
      </x:c>
      <x:c r="D222" t="str">
        <x:v>DEMO-056-1</x:v>
      </x:c>
      <x:c r="E222" t="str">
        <x:v>现代原木玄关柜演示款</x:v>
      </x:c>
      <x:c r="F222" t="n">
        <x:v>1</x:v>
      </x:c>
      <x:c r="G222" s="28" t="n">
        <x:v>12000</x:v>
      </x:c>
      <x:c r="H222" s="28" t="n">
        <x:f>F222*G222</x:f>
        <x:v>12000</x:v>
      </x:c>
      <x:c r="I222" t="n">
        <x:v>42</x:v>
      </x:c>
      <x:c r="J222" s="1" t="b">
        <x:v>1</x:v>
      </x:c>
      <x:c r="K222" t="str">
        <x:v>AI虚构SKU；不可询价、下单或映射真实欧派产品</x:v>
      </x:c>
    </x:row>
    <x:row r="223">
      <x:c r="A223" t="str">
        <x:v>OP-AI-011-SKU-2</x:v>
      </x:c>
      <x:c r="B223" t="str">
        <x:v>OP-AI-011</x:v>
      </x:c>
      <x:c r="C223" t="str">
        <x:v>电视柜</x:v>
      </x:c>
      <x:c r="D223" t="str">
        <x:v>DEMO-056-2</x:v>
      </x:c>
      <x:c r="E223" t="str">
        <x:v>现代原木电视柜演示款</x:v>
      </x:c>
      <x:c r="F223" t="n">
        <x:v>1</x:v>
      </x:c>
      <x:c r="G223" s="28" t="n">
        <x:v>16000</x:v>
      </x:c>
      <x:c r="H223" s="28" t="n">
        <x:f>F223*G223</x:f>
        <x:v>16000</x:v>
      </x:c>
      <x:c r="I223" t="n">
        <x:v>49</x:v>
      </x:c>
      <x:c r="J223" s="1" t="b">
        <x:v>1</x:v>
      </x:c>
      <x:c r="K223" t="str">
        <x:v>AI虚构SKU；不可询价、下单或映射真实欧派产品</x:v>
      </x:c>
    </x:row>
    <x:row r="224">
      <x:c r="A224" t="str">
        <x:v>OP-AI-011-SKU-3</x:v>
      </x:c>
      <x:c r="B224" t="str">
        <x:v>OP-AI-011</x:v>
      </x:c>
      <x:c r="C224" t="str">
        <x:v>餐边柜</x:v>
      </x:c>
      <x:c r="D224" t="str">
        <x:v>DEMO-056-3</x:v>
      </x:c>
      <x:c r="E224" t="str">
        <x:v>现代原木餐边柜演示款</x:v>
      </x:c>
      <x:c r="F224" t="n">
        <x:v>1</x:v>
      </x:c>
      <x:c r="G224" s="28" t="n">
        <x:v>19000</x:v>
      </x:c>
      <x:c r="H224" s="28" t="n">
        <x:f>F224*G224</x:f>
        <x:v>19000</x:v>
      </x:c>
      <x:c r="I224" t="n">
        <x:v>56</x:v>
      </x:c>
      <x:c r="J224" s="1" t="b">
        <x:v>1</x:v>
      </x:c>
      <x:c r="K224" t="str">
        <x:v>AI虚构SKU；不可询价、下单或映射真实欧派产品</x:v>
      </x:c>
    </x:row>
    <x:row r="225">
      <x:c r="A225" t="str">
        <x:v>OP-AI-011-SKU-4</x:v>
      </x:c>
      <x:c r="B225" t="str">
        <x:v>OP-AI-011</x:v>
      </x:c>
      <x:c r="C225" t="str">
        <x:v>衣柜</x:v>
      </x:c>
      <x:c r="D225" t="str">
        <x:v>DEMO-056-4</x:v>
      </x:c>
      <x:c r="E225" t="str">
        <x:v>现代原木衣柜演示款</x:v>
      </x:c>
      <x:c r="F225" t="n">
        <x:v>1</x:v>
      </x:c>
      <x:c r="G225" s="28" t="n">
        <x:v>23000</x:v>
      </x:c>
      <x:c r="H225" s="28" t="n">
        <x:f>F225*G225</x:f>
        <x:v>23000</x:v>
      </x:c>
      <x:c r="I225" t="n">
        <x:v>63</x:v>
      </x:c>
      <x:c r="J225" s="1" t="b">
        <x:v>1</x:v>
      </x:c>
      <x:c r="K225" t="str">
        <x:v>AI虚构SKU；不可询价、下单或映射真实欧派产品</x:v>
      </x:c>
    </x:row>
    <x:row r="226">
      <x:c r="A226" t="str">
        <x:v>OP-AI-012-SKU-1</x:v>
      </x:c>
      <x:c r="B226" t="str">
        <x:v>OP-AI-012</x:v>
      </x:c>
      <x:c r="C226" t="str">
        <x:v>玄关柜</x:v>
      </x:c>
      <x:c r="D226" t="str">
        <x:v>DEMO-057-1</x:v>
      </x:c>
      <x:c r="E226" t="str">
        <x:v>现代轻奢玄关柜演示款</x:v>
      </x:c>
      <x:c r="F226" t="n">
        <x:v>1</x:v>
      </x:c>
      <x:c r="G226" s="28" t="n">
        <x:v>13000</x:v>
      </x:c>
      <x:c r="H226" s="28" t="n">
        <x:f>F226*G226</x:f>
        <x:v>13000</x:v>
      </x:c>
      <x:c r="I226" t="n">
        <x:v>49</x:v>
      </x:c>
      <x:c r="J226" s="1" t="b">
        <x:v>1</x:v>
      </x:c>
      <x:c r="K226" t="str">
        <x:v>AI虚构SKU；不可询价、下单或映射真实欧派产品</x:v>
      </x:c>
    </x:row>
    <x:row r="227">
      <x:c r="A227" t="str">
        <x:v>OP-AI-012-SKU-2</x:v>
      </x:c>
      <x:c r="B227" t="str">
        <x:v>OP-AI-012</x:v>
      </x:c>
      <x:c r="C227" t="str">
        <x:v>电视柜</x:v>
      </x:c>
      <x:c r="D227" t="str">
        <x:v>DEMO-057-2</x:v>
      </x:c>
      <x:c r="E227" t="str">
        <x:v>现代轻奢电视柜演示款</x:v>
      </x:c>
      <x:c r="F227" t="n">
        <x:v>1</x:v>
      </x:c>
      <x:c r="G227" s="28" t="n">
        <x:v>16000</x:v>
      </x:c>
      <x:c r="H227" s="28" t="n">
        <x:f>F227*G227</x:f>
        <x:v>16000</x:v>
      </x:c>
      <x:c r="I227" t="n">
        <x:v>56</x:v>
      </x:c>
      <x:c r="J227" s="1" t="b">
        <x:v>1</x:v>
      </x:c>
      <x:c r="K227" t="str">
        <x:v>AI虚构SKU；不可询价、下单或映射真实欧派产品</x:v>
      </x:c>
    </x:row>
    <x:row r="228">
      <x:c r="A228" t="str">
        <x:v>OP-AI-012-SKU-3</x:v>
      </x:c>
      <x:c r="B228" t="str">
        <x:v>OP-AI-012</x:v>
      </x:c>
      <x:c r="C228" t="str">
        <x:v>餐边柜</x:v>
      </x:c>
      <x:c r="D228" t="str">
        <x:v>DEMO-057-3</x:v>
      </x:c>
      <x:c r="E228" t="str">
        <x:v>现代轻奢餐边柜演示款</x:v>
      </x:c>
      <x:c r="F228" t="n">
        <x:v>1</x:v>
      </x:c>
      <x:c r="G228" s="28" t="n">
        <x:v>20000</x:v>
      </x:c>
      <x:c r="H228" s="28" t="n">
        <x:f>F228*G228</x:f>
        <x:v>20000</x:v>
      </x:c>
      <x:c r="I228" t="n">
        <x:v>63</x:v>
      </x:c>
      <x:c r="J228" s="1" t="b">
        <x:v>1</x:v>
      </x:c>
      <x:c r="K228" t="str">
        <x:v>AI虚构SKU；不可询价、下单或映射真实欧派产品</x:v>
      </x:c>
    </x:row>
    <x:row r="229">
      <x:c r="A229" t="str">
        <x:v>OP-AI-012-SKU-4</x:v>
      </x:c>
      <x:c r="B229" t="str">
        <x:v>OP-AI-012</x:v>
      </x:c>
      <x:c r="C229" t="str">
        <x:v>衣柜</x:v>
      </x:c>
      <x:c r="D229" t="str">
        <x:v>DEMO-057-4</x:v>
      </x:c>
      <x:c r="E229" t="str">
        <x:v>现代轻奢衣柜演示款</x:v>
      </x:c>
      <x:c r="F229" t="n">
        <x:v>1</x:v>
      </x:c>
      <x:c r="G229" s="28" t="n">
        <x:v>24000</x:v>
      </x:c>
      <x:c r="H229" s="28" t="n">
        <x:f>F229*G229</x:f>
        <x:v>24000</x:v>
      </x:c>
      <x:c r="I229" t="n">
        <x:v>70</x:v>
      </x:c>
      <x:c r="J229" s="1" t="b">
        <x:v>1</x:v>
      </x:c>
      <x:c r="K229" t="str">
        <x:v>AI虚构SKU；不可询价、下单或映射真实欧派产品</x:v>
      </x:c>
    </x:row>
    <x:row r="230">
      <x:c r="A230" t="str">
        <x:v>OP-AI-013-SKU-1</x:v>
      </x:c>
      <x:c r="B230" t="str">
        <x:v>OP-AI-013</x:v>
      </x:c>
      <x:c r="C230" t="str">
        <x:v>玄关柜</x:v>
      </x:c>
      <x:c r="D230" t="str">
        <x:v>DEMO-058-1</x:v>
      </x:c>
      <x:c r="E230" t="str">
        <x:v>现代简约玄关柜演示款</x:v>
      </x:c>
      <x:c r="F230" t="n">
        <x:v>1</x:v>
      </x:c>
      <x:c r="G230" s="28" t="n">
        <x:v>13000</x:v>
      </x:c>
      <x:c r="H230" s="28" t="n">
        <x:f>F230*G230</x:f>
        <x:v>13000</x:v>
      </x:c>
      <x:c r="I230" t="n">
        <x:v>56</x:v>
      </x:c>
      <x:c r="J230" s="1" t="b">
        <x:v>1</x:v>
      </x:c>
      <x:c r="K230" t="str">
        <x:v>AI虚构SKU；不可询价、下单或映射真实欧派产品</x:v>
      </x:c>
    </x:row>
    <x:row r="231">
      <x:c r="A231" t="str">
        <x:v>OP-AI-013-SKU-2</x:v>
      </x:c>
      <x:c r="B231" t="str">
        <x:v>OP-AI-013</x:v>
      </x:c>
      <x:c r="C231" t="str">
        <x:v>电视柜</x:v>
      </x:c>
      <x:c r="D231" t="str">
        <x:v>DEMO-058-2</x:v>
      </x:c>
      <x:c r="E231" t="str">
        <x:v>现代简约电视柜演示款</x:v>
      </x:c>
      <x:c r="F231" t="n">
        <x:v>1</x:v>
      </x:c>
      <x:c r="G231" s="28" t="n">
        <x:v>17000</x:v>
      </x:c>
      <x:c r="H231" s="28" t="n">
        <x:f>F231*G231</x:f>
        <x:v>17000</x:v>
      </x:c>
      <x:c r="I231" t="n">
        <x:v>63</x:v>
      </x:c>
      <x:c r="J231" s="1" t="b">
        <x:v>1</x:v>
      </x:c>
      <x:c r="K231" t="str">
        <x:v>AI虚构SKU；不可询价、下单或映射真实欧派产品</x:v>
      </x:c>
    </x:row>
    <x:row r="232">
      <x:c r="A232" t="str">
        <x:v>OP-AI-013-SKU-3</x:v>
      </x:c>
      <x:c r="B232" t="str">
        <x:v>OP-AI-013</x:v>
      </x:c>
      <x:c r="C232" t="str">
        <x:v>餐边柜</x:v>
      </x:c>
      <x:c r="D232" t="str">
        <x:v>DEMO-058-3</x:v>
      </x:c>
      <x:c r="E232" t="str">
        <x:v>现代简约餐边柜演示款</x:v>
      </x:c>
      <x:c r="F232" t="n">
        <x:v>1</x:v>
      </x:c>
      <x:c r="G232" s="28" t="n">
        <x:v>21000</x:v>
      </x:c>
      <x:c r="H232" s="28" t="n">
        <x:f>F232*G232</x:f>
        <x:v>21000</x:v>
      </x:c>
      <x:c r="I232" t="n">
        <x:v>70</x:v>
      </x:c>
      <x:c r="J232" s="1" t="b">
        <x:v>1</x:v>
      </x:c>
      <x:c r="K232" t="str">
        <x:v>AI虚构SKU；不可询价、下单或映射真实欧派产品</x:v>
      </x:c>
    </x:row>
    <x:row r="233">
      <x:c r="A233" t="str">
        <x:v>OP-AI-013-SKU-4</x:v>
      </x:c>
      <x:c r="B233" t="str">
        <x:v>OP-AI-013</x:v>
      </x:c>
      <x:c r="C233" t="str">
        <x:v>衣柜</x:v>
      </x:c>
      <x:c r="D233" t="str">
        <x:v>DEMO-058-4</x:v>
      </x:c>
      <x:c r="E233" t="str">
        <x:v>现代简约衣柜演示款</x:v>
      </x:c>
      <x:c r="F233" t="n">
        <x:v>1</x:v>
      </x:c>
      <x:c r="G233" s="28" t="n">
        <x:v>25000</x:v>
      </x:c>
      <x:c r="H233" s="28" t="n">
        <x:f>F233*G233</x:f>
        <x:v>25000</x:v>
      </x:c>
      <x:c r="I233" t="n">
        <x:v>35</x:v>
      </x:c>
      <x:c r="J233" s="1" t="b">
        <x:v>1</x:v>
      </x:c>
      <x:c r="K233" t="str">
        <x:v>AI虚构SKU；不可询价、下单或映射真实欧派产品</x:v>
      </x:c>
    </x:row>
    <x:row r="234">
      <x:c r="A234" t="str">
        <x:v>OP-AI-014-SKU-1</x:v>
      </x:c>
      <x:c r="B234" t="str">
        <x:v>OP-AI-014</x:v>
      </x:c>
      <x:c r="C234" t="str">
        <x:v>玄关柜</x:v>
      </x:c>
      <x:c r="D234" t="str">
        <x:v>DEMO-059-1</x:v>
      </x:c>
      <x:c r="E234" t="str">
        <x:v>新中式玄关柜演示款</x:v>
      </x:c>
      <x:c r="F234" t="n">
        <x:v>1</x:v>
      </x:c>
      <x:c r="G234" s="28" t="n">
        <x:v>14000</x:v>
      </x:c>
      <x:c r="H234" s="28" t="n">
        <x:f>F234*G234</x:f>
        <x:v>14000</x:v>
      </x:c>
      <x:c r="I234" t="n">
        <x:v>63</x:v>
      </x:c>
      <x:c r="J234" s="1" t="b">
        <x:v>1</x:v>
      </x:c>
      <x:c r="K234" t="str">
        <x:v>AI虚构SKU；不可询价、下单或映射真实欧派产品</x:v>
      </x:c>
    </x:row>
    <x:row r="235">
      <x:c r="A235" t="str">
        <x:v>OP-AI-014-SKU-2</x:v>
      </x:c>
      <x:c r="B235" t="str">
        <x:v>OP-AI-014</x:v>
      </x:c>
      <x:c r="C235" t="str">
        <x:v>电视柜</x:v>
      </x:c>
      <x:c r="D235" t="str">
        <x:v>DEMO-059-2</x:v>
      </x:c>
      <x:c r="E235" t="str">
        <x:v>新中式电视柜演示款</x:v>
      </x:c>
      <x:c r="F235" t="n">
        <x:v>1</x:v>
      </x:c>
      <x:c r="G235" s="28" t="n">
        <x:v>18000</x:v>
      </x:c>
      <x:c r="H235" s="28" t="n">
        <x:f>F235*G235</x:f>
        <x:v>18000</x:v>
      </x:c>
      <x:c r="I235" t="n">
        <x:v>70</x:v>
      </x:c>
      <x:c r="J235" s="1" t="b">
        <x:v>1</x:v>
      </x:c>
      <x:c r="K235" t="str">
        <x:v>AI虚构SKU；不可询价、下单或映射真实欧派产品</x:v>
      </x:c>
    </x:row>
    <x:row r="236">
      <x:c r="A236" t="str">
        <x:v>OP-AI-014-SKU-3</x:v>
      </x:c>
      <x:c r="B236" t="str">
        <x:v>OP-AI-014</x:v>
      </x:c>
      <x:c r="C236" t="str">
        <x:v>餐边柜</x:v>
      </x:c>
      <x:c r="D236" t="str">
        <x:v>DEMO-059-3</x:v>
      </x:c>
      <x:c r="E236" t="str">
        <x:v>新中式餐边柜演示款</x:v>
      </x:c>
      <x:c r="F236" t="n">
        <x:v>1</x:v>
      </x:c>
      <x:c r="G236" s="28" t="n">
        <x:v>22000</x:v>
      </x:c>
      <x:c r="H236" s="28" t="n">
        <x:f>F236*G236</x:f>
        <x:v>22000</x:v>
      </x:c>
      <x:c r="I236" t="n">
        <x:v>35</x:v>
      </x:c>
      <x:c r="J236" s="1" t="b">
        <x:v>1</x:v>
      </x:c>
      <x:c r="K236" t="str">
        <x:v>AI虚构SKU；不可询价、下单或映射真实欧派产品</x:v>
      </x:c>
    </x:row>
    <x:row r="237">
      <x:c r="A237" t="str">
        <x:v>OP-AI-014-SKU-4</x:v>
      </x:c>
      <x:c r="B237" t="str">
        <x:v>OP-AI-014</x:v>
      </x:c>
      <x:c r="C237" t="str">
        <x:v>衣柜</x:v>
      </x:c>
      <x:c r="D237" t="str">
        <x:v>DEMO-059-4</x:v>
      </x:c>
      <x:c r="E237" t="str">
        <x:v>新中式衣柜演示款</x:v>
      </x:c>
      <x:c r="F237" t="n">
        <x:v>1</x:v>
      </x:c>
      <x:c r="G237" s="28" t="n">
        <x:v>26000</x:v>
      </x:c>
      <x:c r="H237" s="28" t="n">
        <x:f>F237*G237</x:f>
        <x:v>26000</x:v>
      </x:c>
      <x:c r="I237" t="n">
        <x:v>42</x:v>
      </x:c>
      <x:c r="J237" s="1" t="b">
        <x:v>1</x:v>
      </x:c>
      <x:c r="K237" t="str">
        <x:v>AI虚构SKU；不可询价、下单或映射真实欧派产品</x:v>
      </x:c>
    </x:row>
    <x:row r="238">
      <x:c r="A238" t="str">
        <x:v>OP-AI-015-SKU-1</x:v>
      </x:c>
      <x:c r="B238" t="str">
        <x:v>OP-AI-015</x:v>
      </x:c>
      <x:c r="C238" t="str">
        <x:v>玄关柜</x:v>
      </x:c>
      <x:c r="D238" t="str">
        <x:v>DEMO-060-1</x:v>
      </x:c>
      <x:c r="E238" t="str">
        <x:v>现代轻奢玄关柜演示款</x:v>
      </x:c>
      <x:c r="F238" t="n">
        <x:v>1</x:v>
      </x:c>
      <x:c r="G238" s="28" t="n">
        <x:v>14000</x:v>
      </x:c>
      <x:c r="H238" s="28" t="n">
        <x:f>F238*G238</x:f>
        <x:v>14000</x:v>
      </x:c>
      <x:c r="I238" t="n">
        <x:v>70</x:v>
      </x:c>
      <x:c r="J238" s="1" t="b">
        <x:v>1</x:v>
      </x:c>
      <x:c r="K238" t="str">
        <x:v>AI虚构SKU；不可询价、下单或映射真实欧派产品</x:v>
      </x:c>
    </x:row>
    <x:row r="239">
      <x:c r="A239" t="str">
        <x:v>OP-AI-015-SKU-2</x:v>
      </x:c>
      <x:c r="B239" t="str">
        <x:v>OP-AI-015</x:v>
      </x:c>
      <x:c r="C239" t="str">
        <x:v>电视柜</x:v>
      </x:c>
      <x:c r="D239" t="str">
        <x:v>DEMO-060-2</x:v>
      </x:c>
      <x:c r="E239" t="str">
        <x:v>现代轻奢电视柜演示款</x:v>
      </x:c>
      <x:c r="F239" t="n">
        <x:v>1</x:v>
      </x:c>
      <x:c r="G239" s="28" t="n">
        <x:v>19000</x:v>
      </x:c>
      <x:c r="H239" s="28" t="n">
        <x:f>F239*G239</x:f>
        <x:v>19000</x:v>
      </x:c>
      <x:c r="I239" t="n">
        <x:v>35</x:v>
      </x:c>
      <x:c r="J239" s="1" t="b">
        <x:v>1</x:v>
      </x:c>
      <x:c r="K239" t="str">
        <x:v>AI虚构SKU；不可询价、下单或映射真实欧派产品</x:v>
      </x:c>
    </x:row>
    <x:row r="240">
      <x:c r="A240" t="str">
        <x:v>OP-AI-015-SKU-3</x:v>
      </x:c>
      <x:c r="B240" t="str">
        <x:v>OP-AI-015</x:v>
      </x:c>
      <x:c r="C240" t="str">
        <x:v>餐边柜</x:v>
      </x:c>
      <x:c r="D240" t="str">
        <x:v>DEMO-060-3</x:v>
      </x:c>
      <x:c r="E240" t="str">
        <x:v>现代轻奢餐边柜演示款</x:v>
      </x:c>
      <x:c r="F240" t="n">
        <x:v>1</x:v>
      </x:c>
      <x:c r="G240" s="28" t="n">
        <x:v>23000</x:v>
      </x:c>
      <x:c r="H240" s="28" t="n">
        <x:f>F240*G240</x:f>
        <x:v>23000</x:v>
      </x:c>
      <x:c r="I240" t="n">
        <x:v>42</x:v>
      </x:c>
      <x:c r="J240" s="1" t="b">
        <x:v>1</x:v>
      </x:c>
      <x:c r="K240" t="str">
        <x:v>AI虚构SKU；不可询价、下单或映射真实欧派产品</x:v>
      </x:c>
    </x:row>
    <x:row r="241">
      <x:c r="A241" t="str">
        <x:v>OP-AI-015-SKU-4</x:v>
      </x:c>
      <x:c r="B241" t="str">
        <x:v>OP-AI-015</x:v>
      </x:c>
      <x:c r="C241" t="str">
        <x:v>衣柜</x:v>
      </x:c>
      <x:c r="D241" t="str">
        <x:v>DEMO-060-4</x:v>
      </x:c>
      <x:c r="E241" t="str">
        <x:v>现代轻奢衣柜演示款</x:v>
      </x:c>
      <x:c r="F241" t="n">
        <x:v>1</x:v>
      </x:c>
      <x:c r="G241" s="28" t="n">
        <x:v>27000</x:v>
      </x:c>
      <x:c r="H241" s="28" t="n">
        <x:f>F241*G241</x:f>
        <x:v>27000</x:v>
      </x:c>
      <x:c r="I241" t="n">
        <x:v>49</x:v>
      </x:c>
      <x:c r="J241" s="1" t="b">
        <x:v>1</x:v>
      </x:c>
      <x:c r="K241" t="str">
        <x:v>AI虚构SKU；不可询价、下单或映射真实欧派产品</x:v>
      </x:c>
    </x:row>
  </x:sheetData>
  <x:pageMargins left="0.7" right="0.7" top="0.75" bottom="0.75" header="0.3" footer="0.3"/>
  <x:tableParts count="1">
    <x:tablePart xmlns:r="http://schemas.openxmlformats.org/officeDocument/2006/relationships" r:id="R9f514dd5668e41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  <x:col min="4" max="4" width="40" hidden="0" customWidth="1"/>
    <x:col min="5" max="5" width="24" hidden="0" customWidth="1"/>
  </x:cols>
  <x:sheetData>
    <x:row r="1">
      <x:c r="A1" s="5" t="str">
        <x:v>字段</x:v>
      </x:c>
      <x:c r="B1" s="5" t="str">
        <x:v>类型</x:v>
      </x:c>
      <x:c r="C1" s="5" t="str">
        <x:v>含义</x:v>
      </x:c>
      <x:c r="D1" s="5" t="str">
        <x:v>来源/规则</x:v>
      </x:c>
      <x:c r="E1" s="5" t="str">
        <x:v>必填</x:v>
      </x:c>
    </x:row>
    <x:row r="2">
      <x:c r="A2" s="42" t="str">
        <x:v>case_id</x:v>
      </x:c>
      <x:c r="B2" s="42" t="str">
        <x:v>文本</x:v>
      </x:c>
      <x:c r="C2" s="42" t="str">
        <x:v>唯一案例编号</x:v>
      </x:c>
      <x:c r="D2" s="42" t="str">
        <x:v>系统生成</x:v>
      </x:c>
      <x:c r="E2" s="42" t="str">
        <x:v>是</x:v>
      </x:c>
    </x:row>
    <x:row r="3">
      <x:c r="A3" s="42" t="str">
        <x:v>case_title</x:v>
      </x:c>
      <x:c r="B3" s="42" t="str">
        <x:v>文本</x:v>
      </x:c>
      <x:c r="C3" s="42" t="str">
        <x:v>案例展示名称</x:v>
      </x:c>
      <x:c r="D3" s="42" t="str">
        <x:v>官网标题或AI生成</x:v>
      </x:c>
      <x:c r="E3" s="42" t="str">
        <x:v>是</x:v>
      </x:c>
    </x:row>
    <x:row r="4">
      <x:c r="A4" s="42" t="str">
        <x:v>data_origin</x:v>
      </x:c>
      <x:c r="B4" s="42" t="str">
        <x:v>枚举</x:v>
      </x:c>
      <x:c r="C4" s="42" t="str">
        <x:v>来源分级</x:v>
      </x:c>
      <x:c r="D4" s="42" t="str">
        <x:v>官网公开案例+AI补全/纯AI模拟</x:v>
      </x:c>
      <x:c r="E4" s="42" t="str">
        <x:v>是</x:v>
      </x:c>
    </x:row>
    <x:row r="5">
      <x:c r="A5" s="42" t="str">
        <x:v>public_case_verified</x:v>
      </x:c>
      <x:c r="B5" s="42" t="str">
        <x:v>布尔</x:v>
      </x:c>
      <x:c r="C5" s="42" t="str">
        <x:v>是否核验到官网页面</x:v>
      </x:c>
      <x:c r="D5" s="42" t="str">
        <x:v>官网核验</x:v>
      </x:c>
      <x:c r="E5" s="42" t="str">
        <x:v>是</x:v>
      </x:c>
    </x:row>
    <x:row r="6">
      <x:c r="A6" s="42" t="str">
        <x:v>public_case_url</x:v>
      </x:c>
      <x:c r="B6" s="42" t="str">
        <x:v>URL</x:v>
      </x:c>
      <x:c r="C6" s="42" t="str">
        <x:v>官网案例页</x:v>
      </x:c>
      <x:c r="D6" s="42" t="str">
        <x:v>仅公开案例有值</x:v>
      </x:c>
      <x:c r="E6" s="42" t="str">
        <x:v>条件必填</x:v>
      </x:c>
    </x:row>
    <x:row r="7">
      <x:c r="A7" s="42" t="str">
        <x:v>public_image_url</x:v>
      </x:c>
      <x:c r="B7" s="42" t="str">
        <x:v>URL</x:v>
      </x:c>
      <x:c r="C7" s="42" t="str">
        <x:v>官网主图链接</x:v>
      </x:c>
      <x:c r="D7" s="42" t="str">
        <x:v>不嵌入、不再分发</x:v>
      </x:c>
      <x:c r="E7" s="42" t="str">
        <x:v>否</x:v>
      </x:c>
    </x:row>
    <x:row r="8">
      <x:c r="A8" s="42" t="str">
        <x:v>public_verified_fields</x:v>
      </x:c>
      <x:c r="B8" s="42" t="str">
        <x:v>文本</x:v>
      </x:c>
      <x:c r="C8" s="42" t="str">
        <x:v>官网可核实字段清单</x:v>
      </x:c>
      <x:c r="D8" s="42" t="str">
        <x:v>逐字段声明</x:v>
      </x:c>
      <x:c r="E8" s="42" t="str">
        <x:v>是</x:v>
      </x:c>
    </x:row>
    <x:row r="9">
      <x:c r="A9" s="42" t="str">
        <x:v>ai_generated_fields</x:v>
      </x:c>
      <x:c r="B9" s="42" t="str">
        <x:v>文本</x:v>
      </x:c>
      <x:c r="C9" s="42" t="str">
        <x:v>AI补全字段清单</x:v>
      </x:c>
      <x:c r="D9" s="42" t="str">
        <x:v>逐字段声明</x:v>
      </x:c>
      <x:c r="E9" s="42" t="str">
        <x:v>是</x:v>
      </x:c>
    </x:row>
    <x:row r="10">
      <x:c r="A10" s="42" t="str">
        <x:v>region/city</x:v>
      </x:c>
      <x:c r="B10" s="42" t="str">
        <x:v>文本</x:v>
      </x:c>
      <x:c r="C10" s="42" t="str">
        <x:v>演示区域和城市</x:v>
      </x:c>
      <x:c r="D10" s="42" t="str">
        <x:v>全部AI模拟</x:v>
      </x:c>
      <x:c r="E10" s="42" t="str">
        <x:v>是</x:v>
      </x:c>
    </x:row>
    <x:row r="11">
      <x:c r="A11" s="42" t="str">
        <x:v>layout</x:v>
      </x:c>
      <x:c r="B11" s="42" t="str">
        <x:v>枚举</x:v>
      </x:c>
      <x:c r="C11" s="42" t="str">
        <x:v>一至四房</x:v>
      </x:c>
      <x:c r="D11" s="42" t="str">
        <x:v>标题/详情或AI模拟</x:v>
      </x:c>
      <x:c r="E11" s="42" t="str">
        <x:v>是</x:v>
      </x:c>
    </x:row>
    <x:row r="12">
      <x:c r="A12" s="42" t="str">
        <x:v>layout_basis</x:v>
      </x:c>
      <x:c r="B12" s="42" t="str">
        <x:v>文本</x:v>
      </x:c>
      <x:c r="C12" s="42" t="str">
        <x:v>户型来源依据</x:v>
      </x:c>
      <x:c r="D12" s="42" t="str">
        <x:v>必须明确</x:v>
      </x:c>
      <x:c r="E12" s="42" t="str">
        <x:v>是</x:v>
      </x:c>
    </x:row>
    <x:row r="13">
      <x:c r="A13" s="42" t="str">
        <x:v>area_m2</x:v>
      </x:c>
      <x:c r="B13" s="42" t="str">
        <x:v>数值</x:v>
      </x:c>
      <x:c r="C13" s="42" t="str">
        <x:v>建筑面积平方米</x:v>
      </x:c>
      <x:c r="D13" s="42" t="str">
        <x:v>标题显式或AI模拟</x:v>
      </x:c>
      <x:c r="E13" s="42" t="str">
        <x:v>是</x:v>
      </x:c>
    </x:row>
    <x:row r="14">
      <x:c r="A14" s="42" t="str">
        <x:v>area_basis</x:v>
      </x:c>
      <x:c r="B14" s="42" t="str">
        <x:v>文本</x:v>
      </x:c>
      <x:c r="C14" s="42" t="str">
        <x:v>面积来源依据</x:v>
      </x:c>
      <x:c r="D14" s="42" t="str">
        <x:v>必须明确</x:v>
      </x:c>
      <x:c r="E14" s="42" t="str">
        <x:v>是</x:v>
      </x:c>
    </x:row>
    <x:row r="15">
      <x:c r="A15" s="42" t="str">
        <x:v>main_style</x:v>
      </x:c>
      <x:c r="B15" s="42" t="str">
        <x:v>枚举</x:v>
      </x:c>
      <x:c r="C15" s="42" t="str">
        <x:v>PRD标准主风格</x:v>
      </x:c>
      <x:c r="D15" s="42" t="str">
        <x:v>官网文本经AI归一化或AI模拟</x:v>
      </x:c>
      <x:c r="E15" s="42" t="str">
        <x:v>是</x:v>
      </x:c>
    </x:row>
    <x:row r="16">
      <x:c r="A16" s="42" t="str">
        <x:v>style_basis</x:v>
      </x:c>
      <x:c r="B16" s="42" t="str">
        <x:v>文本</x:v>
      </x:c>
      <x:c r="C16" s="42" t="str">
        <x:v>风格来源依据</x:v>
      </x:c>
      <x:c r="D16" s="42" t="str">
        <x:v>必须明确</x:v>
      </x:c>
      <x:c r="E16" s="42" t="str">
        <x:v>是</x:v>
      </x:c>
    </x:row>
    <x:row r="17">
      <x:c r="A17" s="42" t="str">
        <x:v>budget_min/max/total</x:v>
      </x:c>
      <x:c r="B17" s="42" t="str">
        <x:v>货币</x:v>
      </x:c>
      <x:c r="C17" s="42" t="str">
        <x:v>MVP全案模拟预算</x:v>
      </x:c>
      <x:c r="D17" s="42" t="str">
        <x:v>全部AI模拟；非官网报价</x:v>
      </x:c>
      <x:c r="E17" s="42" t="str">
        <x:v>是</x:v>
      </x:c>
    </x:row>
    <x:row r="18">
      <x:c r="A18" s="42" t="str">
        <x:v>household_type</x:v>
      </x:c>
      <x:c r="B18" s="42" t="str">
        <x:v>枚举</x:v>
      </x:c>
      <x:c r="C18" s="42" t="str">
        <x:v>家庭结构</x:v>
      </x:c>
      <x:c r="D18" s="42" t="str">
        <x:v>全部AI模拟</x:v>
      </x:c>
      <x:c r="E18" s="42" t="str">
        <x:v>是</x:v>
      </x:c>
    </x:row>
    <x:row r="19">
      <x:c r="A19" s="42" t="str">
        <x:v>special_needs</x:v>
      </x:c>
      <x:c r="B19" s="42" t="str">
        <x:v>文本</x:v>
      </x:c>
      <x:c r="C19" s="42" t="str">
        <x:v>儿童/适老/适宠等</x:v>
      </x:c>
      <x:c r="D19" s="42" t="str">
        <x:v>全部AI模拟</x:v>
      </x:c>
      <x:c r="E19" s="42" t="str">
        <x:v>是</x:v>
      </x:c>
    </x:row>
    <x:row r="20">
      <x:c r="A20" s="42" t="str">
        <x:v>primary_colors/materials</x:v>
      </x:c>
      <x:c r="B20" s="42" t="str">
        <x:v>文本</x:v>
      </x:c>
      <x:c r="C20" s="42" t="str">
        <x:v>配色和材质标签</x:v>
      </x:c>
      <x:c r="D20" s="42" t="str">
        <x:v>全部AI模拟</x:v>
      </x:c>
      <x:c r="E20" s="42" t="str">
        <x:v>是</x:v>
      </x:c>
    </x:row>
    <x:row r="21">
      <x:c r="A21" s="42" t="str">
        <x:v>storage_closed_ratio</x:v>
      </x:c>
      <x:c r="B21" s="42" t="str">
        <x:v>百分比</x:v>
      </x:c>
      <x:c r="C21" s="42" t="str">
        <x:v>封闭收纳比例</x:v>
      </x:c>
      <x:c r="D21" s="42" t="str">
        <x:v>全部AI模拟</x:v>
      </x:c>
      <x:c r="E21" s="42" t="str">
        <x:v>是</x:v>
      </x:c>
    </x:row>
    <x:row r="22">
      <x:c r="A22" s="42" t="str">
        <x:v>lighting_preference</x:v>
      </x:c>
      <x:c r="B22" s="42" t="str">
        <x:v>文本</x:v>
      </x:c>
      <x:c r="C22" s="42" t="str">
        <x:v>照明偏好</x:v>
      </x:c>
      <x:c r="D22" s="42" t="str">
        <x:v>全部AI模拟</x:v>
      </x:c>
      <x:c r="E22" s="42" t="str">
        <x:v>是</x:v>
      </x:c>
    </x:row>
    <x:row r="23">
      <x:c r="A23" s="42" t="str">
        <x:v>simulated_transaction_status</x:v>
      </x:c>
      <x:c r="B23" s="42" t="str">
        <x:v>文本</x:v>
      </x:c>
      <x:c r="C23" s="42" t="str">
        <x:v>演示用成交标签</x:v>
      </x:c>
      <x:c r="D23" s="42" t="str">
        <x:v>全部AI模拟</x:v>
      </x:c>
      <x:c r="E23" s="42" t="str">
        <x:v>是</x:v>
      </x:c>
    </x:row>
    <x:row r="24">
      <x:c r="A24" s="42" t="str">
        <x:v>transaction_evidence</x:v>
      </x:c>
      <x:c r="B24" s="42" t="str">
        <x:v>文本</x:v>
      </x:c>
      <x:c r="C24" s="42" t="str">
        <x:v>真实成交证明</x:v>
      </x:c>
      <x:c r="D24" s="42" t="str">
        <x:v>本数据集统一为无</x:v>
      </x:c>
      <x:c r="E24" s="42" t="str">
        <x:v>是</x:v>
      </x:c>
    </x:row>
    <x:row r="25">
      <x:c r="A25" s="42" t="str">
        <x:v>revision_count/satisfaction_5</x:v>
      </x:c>
      <x:c r="B25" s="42" t="str">
        <x:v>数值</x:v>
      </x:c>
      <x:c r="C25" s="42" t="str">
        <x:v>模拟修改次数和满意度</x:v>
      </x:c>
      <x:c r="D25" s="42" t="str">
        <x:v>全部AI模拟</x:v>
      </x:c>
      <x:c r="E25" s="42" t="str">
        <x:v>是</x:v>
      </x:c>
    </x:row>
    <x:row r="26">
      <x:c r="A26" s="42" t="str">
        <x:v>delivery_days</x:v>
      </x:c>
      <x:c r="B26" s="42" t="str">
        <x:v>整数</x:v>
      </x:c>
      <x:c r="C26" s="42" t="str">
        <x:v>模拟交付周期</x:v>
      </x:c>
      <x:c r="D26" s="42" t="str">
        <x:v>全部AI模拟</x:v>
      </x:c>
      <x:c r="E26" s="42" t="str">
        <x:v>是</x:v>
      </x:c>
    </x:row>
    <x:row r="27">
      <x:c r="A27" s="42" t="str">
        <x:v>risk_tags</x:v>
      </x:c>
      <x:c r="B27" s="42" t="str">
        <x:v>文本</x:v>
      </x:c>
      <x:c r="C27" s="42" t="str">
        <x:v>推荐/交付风险</x:v>
      </x:c>
      <x:c r="D27" s="42" t="str">
        <x:v>AI规则生成</x:v>
      </x:c>
      <x:c r="E27" s="42" t="str">
        <x:v>是</x:v>
      </x:c>
    </x:row>
    <x:row r="28">
      <x:c r="A28" s="42" t="str">
        <x:v>display_right</x:v>
      </x:c>
      <x:c r="B28" s="42" t="str">
        <x:v>文本</x:v>
      </x:c>
      <x:c r="C28" s="42" t="str">
        <x:v>展示权限边界</x:v>
      </x:c>
      <x:c r="D28" s="42" t="str">
        <x:v>公开图仅链接原页</x:v>
      </x:c>
      <x:c r="E28" s="42" t="str">
        <x:v>是</x:v>
      </x:c>
    </x:row>
    <x:row r="29">
      <x:c r="A29" s="42" t="str">
        <x:v>training_right</x:v>
      </x:c>
      <x:c r="B29" s="42" t="str">
        <x:v>文本</x:v>
      </x:c>
      <x:c r="C29" s="42" t="str">
        <x:v>AI训练权限</x:v>
      </x:c>
      <x:c r="D29" s="42" t="str">
        <x:v>默认无</x:v>
      </x:c>
      <x:c r="E29" s="42" t="str">
        <x:v>是</x:v>
      </x:c>
    </x:row>
    <x:row r="30">
      <x:c r="A30" s="42" t="str">
        <x:v>anonymized</x:v>
      </x:c>
      <x:c r="B30" s="42" t="str">
        <x:v>布尔</x:v>
      </x:c>
      <x:c r="C30" s="42" t="str">
        <x:v>是否不含个人身份信息</x:v>
      </x:c>
      <x:c r="D30" s="42" t="str">
        <x:v>统一为真</x:v>
      </x:c>
      <x:c r="E30" s="42" t="str">
        <x:v>是</x:v>
      </x:c>
    </x:row>
    <x:row r="31">
      <x:c r="A31" s="42" t="str">
        <x:v>image_status</x:v>
      </x:c>
      <x:c r="B31" s="42" t="str">
        <x:v>文本</x:v>
      </x:c>
      <x:c r="C31" s="42" t="str">
        <x:v>图片可用状态</x:v>
      </x:c>
      <x:c r="D31" s="42" t="str">
        <x:v>官网URL或待AI生成</x:v>
      </x:c>
      <x:c r="E31" s="42" t="str">
        <x:v>是</x:v>
      </x:c>
    </x:row>
    <x:row r="32">
      <x:c r="A32" s="42" t="str">
        <x:v>id_duplicate_count</x:v>
      </x:c>
      <x:c r="B32" s="42" t="str">
        <x:v>公式</x:v>
      </x:c>
      <x:c r="C32" s="42" t="str">
        <x:v>ID重复计数</x:v>
      </x:c>
      <x:c r="D32" s="42" t="str">
        <x:v>COUNTIF</x:v>
      </x:c>
      <x:c r="E32" s="42" t="str">
        <x:v>是</x:v>
      </x:c>
    </x:row>
    <x:row r="33">
      <x:c r="A33" s="42" t="str">
        <x:v>data_qc_result</x:v>
      </x:c>
      <x:c r="B33" s="42" t="str">
        <x:v>公式</x:v>
      </x:c>
      <x:c r="C33" s="42" t="str">
        <x:v>基础质量结果</x:v>
      </x:c>
      <x:c r="D33" s="42" t="str">
        <x:v>IF+AND</x:v>
      </x:c>
      <x:c r="E33" s="42" t="str">
        <x:v>是</x:v>
      </x:c>
    </x:row>
  </x:sheetData>
  <x:pageMargins left="0.7" right="0.7" top="0.75" bottom="0.75" header="0.3" footer="0.3"/>
  <x:tableParts count="1">
    <x:tablePart xmlns:r="http://schemas.openxmlformats.org/officeDocument/2006/relationships" r:id="R960617225b724e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3" max="3" width="34" hidden="0" customWidth="1"/>
    <x:col min="4" max="4" width="52" hidden="0" customWidth="1"/>
    <x:col min="5" max="5" width="52" hidden="0" customWidth="1"/>
  </x:cols>
  <x:sheetData>
    <x:row r="1" ht="34" customHeight="1">
      <x:c r="A1" s="43" t="str">
        <x:v>来源、证据等级与模拟边界</x:v>
      </x:c>
      <x:c r="B1" s="43"/>
      <x:c r="C1" s="43"/>
      <x:c r="D1" s="43"/>
      <x:c r="E1" s="43"/>
      <x:c r="F1" s="43"/>
    </x:row>
    <x:row r="2">
      <x:c r="A2" s="38"/>
      <x:c r="B2" s="38"/>
      <x:c r="C2" s="38"/>
      <x:c r="D2" s="38"/>
      <x:c r="E2" s="38"/>
      <x:c r="F2" s="38"/>
    </x:row>
    <x:row r="3">
      <x:c r="A3" s="44" t="str">
        <x:v>边界项</x:v>
      </x:c>
      <x:c r="B3" s="44" t="str">
        <x:v>说明</x:v>
      </x:c>
      <x:c r="C3" s="38"/>
      <x:c r="D3" s="38"/>
      <x:c r="E3" s="38"/>
      <x:c r="F3" s="38"/>
    </x:row>
    <x:row r="4">
      <x:c r="A4" s="42" t="str">
        <x:v>数据集定位</x:v>
      </x:c>
      <x:c r="B4" s="42" t="str">
        <x:v>用于竞赛MVP的推荐、筛选、界面和算法回归测试；不是欧派真实成交数据库。</x:v>
      </x:c>
      <x:c r="C4" s="38"/>
      <x:c r="D4" s="38"/>
      <x:c r="E4" s="38"/>
      <x:c r="F4" s="38"/>
    </x:row>
    <x:row r="5">
      <x:c r="A5" s="42" t="str">
        <x:v>公开事实范围</x:v>
      </x:c>
      <x:c r="B5" s="42" t="str">
        <x:v>45条仅核实到欧派官网公开的案例标题、案例页和主图URL；部分标题直接包含面积、户型或风格。</x:v>
      </x:c>
      <x:c r="C5" s="38"/>
      <x:c r="D5" s="38"/>
      <x:c r="E5" s="38"/>
      <x:c r="F5" s="38"/>
    </x:row>
    <x:row r="6">
      <x:c r="A6" s="42" t="str">
        <x:v>详情抽查</x:v>
      </x:c>
      <x:c r="B6" s="42" t="str">
        <x:v>613、610、608、604、596、552、491、244共8页抽查了官网详情中的空间、风格、面积、价格档与设计说明。</x:v>
      </x:c>
      <x:c r="C6" s="38"/>
      <x:c r="D6" s="38"/>
      <x:c r="E6" s="38"/>
      <x:c r="F6" s="38"/>
    </x:row>
    <x:row r="7">
      <x:c r="A7" s="42" t="str">
        <x:v>AI补全范围</x:v>
      </x:c>
      <x:c r="B7" s="42" t="str">
        <x:v>城市、家庭结构、总预算、标准风格映射、配色、材质、收纳、灯光、成交标签、满意度、修改次数、交期和风险均为AI模拟。</x:v>
      </x:c>
      <x:c r="C7" s="38"/>
      <x:c r="D7" s="38"/>
      <x:c r="E7" s="38"/>
      <x:c r="F7" s="38"/>
    </x:row>
    <x:row r="8">
      <x:c r="A8" s="42" t="str">
        <x:v>成交边界</x:v>
      </x:c>
      <x:c r="B8" s="42" t="str">
        <x:v>60条均无真实合同、订单或付款证明；simulated_transaction_status不可解释为真实成交。</x:v>
      </x:c>
      <x:c r="C8" s="38"/>
      <x:c r="D8" s="38"/>
      <x:c r="E8" s="38"/>
      <x:c r="F8" s="38"/>
    </x:row>
    <x:row r="9">
      <x:c r="A9" s="42" t="str">
        <x:v>价格边界</x:v>
      </x:c>
      <x:c r="B9" s="42" t="str">
        <x:v>budget字段是全案演示预算，不等于官网页面的产品价格档，也不可用于真实报价。</x:v>
      </x:c>
      <x:c r="C9" s="38"/>
      <x:c r="D9" s="38"/>
      <x:c r="E9" s="38"/>
      <x:c r="F9" s="38"/>
    </x:row>
    <x:row r="10">
      <x:c r="A10" s="42" t="str">
        <x:v>图片边界</x:v>
      </x:c>
      <x:c r="B10" s="42" t="str">
        <x:v>工作簿只保存官网公开主图URL，不下载、不嵌入、不宣称获得再分发或训练授权。</x:v>
      </x:c>
      <x:c r="C10" s="38"/>
      <x:c r="D10" s="38"/>
      <x:c r="E10" s="38"/>
      <x:c r="F10" s="38"/>
    </x:row>
    <x:row r="11">
      <x:c r="A11" s="42" t="str">
        <x:v>隐私边界</x:v>
      </x:c>
      <x:c r="B11" s="42" t="str">
        <x:v>不含客户姓名、电话、精确地址、户型图原件、合同号或支付信息。</x:v>
      </x:c>
      <x:c r="C11" s="38"/>
      <x:c r="D11" s="38"/>
      <x:c r="E11" s="38"/>
      <x:c r="F11" s="38"/>
    </x:row>
    <x:row r="12">
      <x:c r="A12" s="42" t="str">
        <x:v>SKU边界</x:v>
      </x:c>
      <x:c r="B12" s="42" t="str">
        <x:v>所有DEMO-前缀SKU均由AI编造，不对应欧派真实产品，不可询价或下单。</x:v>
      </x:c>
      <x:c r="C12" s="38"/>
      <x:c r="D12" s="38"/>
      <x:c r="E12" s="38"/>
      <x:c r="F12" s="38"/>
    </x:row>
    <x:row r="13">
      <x:c r="A13" s="42" t="str">
        <x:v>上线门槛</x:v>
      </x:c>
      <x:c r="B13" s="42" t="str">
        <x:v>若用于公开展示、训练或商业推荐，必须重新核验图片授权、真实SKU、价格、库存、交期和客户授权。</x:v>
      </x:c>
      <x:c r="C13" s="38"/>
      <x:c r="D13" s="38"/>
      <x:c r="E13" s="38"/>
      <x:c r="F13" s="38"/>
    </x:row>
    <x:row r="14">
      <x:c r="A14" s="38"/>
      <x:c r="B14" s="38"/>
      <x:c r="C14" s="38"/>
      <x:c r="D14" s="38"/>
      <x:c r="E14" s="38"/>
      <x:c r="F14" s="38"/>
    </x:row>
    <x:row r="15">
      <x:c r="A15" s="45" t="str">
        <x:v>source_id</x:v>
      </x:c>
      <x:c r="B15" s="45" t="str">
        <x:v>source_type</x:v>
      </x:c>
      <x:c r="C15" s="45" t="str">
        <x:v>title</x:v>
      </x:c>
      <x:c r="D15" s="45" t="str">
        <x:v>url</x:v>
      </x:c>
      <x:c r="E15" s="45" t="str">
        <x:v>supports</x:v>
      </x:c>
      <x:c r="F15" s="45" t="str">
        <x:v>retrieved_date</x:v>
      </x:c>
    </x:row>
    <x:row r="16">
      <x:c r="A16" s="38" t="str">
        <x:v>SRC-001</x:v>
      </x:c>
      <x:c r="B16" s="38" t="str">
        <x:v>欧派官网公开全屋设计案例</x:v>
      </x:c>
      <x:c r="C16" s="38" t="str">
        <x:v>97㎡北欧风情设计案例</x:v>
      </x:c>
      <x:c r="D16" s="38" t="str">
        <x:v>https://www.oppein.cn/homematch/613</x:v>
      </x:c>
      <x:c r="E16" s="38" t="str">
        <x:v>标题、页面存在、主图URL；不证明真实成交</x:v>
      </x:c>
      <x:c r="F16" s="46" t="n">
        <x:v>46220</x:v>
      </x:c>
    </x:row>
    <x:row r="17">
      <x:c r="A17" s="38" t="str">
        <x:v>SRC-002</x:v>
      </x:c>
      <x:c r="B17" s="38" t="str">
        <x:v>欧派官网公开全屋设计案例</x:v>
      </x:c>
      <x:c r="C17" s="38" t="str">
        <x:v>金属风摩登新贵系列三居室</x:v>
      </x:c>
      <x:c r="D17" s="38" t="str">
        <x:v>https://www.oppein.cn/homematch/610</x:v>
      </x:c>
      <x:c r="E17" s="38" t="str">
        <x:v>标题、页面存在、主图URL；不证明真实成交</x:v>
      </x:c>
      <x:c r="F17" s="46" t="n">
        <x:v>46220</x:v>
      </x:c>
    </x:row>
    <x:row r="18">
      <x:c r="A18" s="38" t="str">
        <x:v>SRC-003</x:v>
      </x:c>
      <x:c r="B18" s="38" t="str">
        <x:v>欧派官网公开全屋设计案例</x:v>
      </x:c>
      <x:c r="C18" s="38" t="str">
        <x:v>新中式云舍系列三居室</x:v>
      </x:c>
      <x:c r="D18" s="38" t="str">
        <x:v>https://www.oppein.cn/homematch/608</x:v>
      </x:c>
      <x:c r="E18" s="38" t="str">
        <x:v>标题、页面存在、主图URL；不证明真实成交</x:v>
      </x:c>
      <x:c r="F18" s="46" t="n">
        <x:v>46220</x:v>
      </x:c>
    </x:row>
    <x:row r="19">
      <x:c r="A19" s="38" t="str">
        <x:v>SRC-004</x:v>
      </x:c>
      <x:c r="B19" s="38" t="str">
        <x:v>欧派官网公开全屋设计案例</x:v>
      </x:c>
      <x:c r="C19" s="38" t="str">
        <x:v>伯爵现代典雅两居室</x:v>
      </x:c>
      <x:c r="D19" s="38" t="str">
        <x:v>https://www.oppein.cn/homematch/578</x:v>
      </x:c>
      <x:c r="E19" s="38" t="str">
        <x:v>标题、页面存在、主图URL；不证明真实成交</x:v>
      </x:c>
      <x:c r="F19" s="46" t="n">
        <x:v>46220</x:v>
      </x:c>
    </x:row>
    <x:row r="20">
      <x:c r="A20" s="38" t="str">
        <x:v>SRC-005</x:v>
      </x:c>
      <x:c r="B20" s="38" t="str">
        <x:v>欧派官网公开全屋设计案例</x:v>
      </x:c>
      <x:c r="C20" s="38" t="str">
        <x:v>埃菲尔现代三居室</x:v>
      </x:c>
      <x:c r="D20" s="38" t="str">
        <x:v>https://www.oppein.cn/homematch/605</x:v>
      </x:c>
      <x:c r="E20" s="38" t="str">
        <x:v>标题、页面存在、主图URL；不证明真实成交</x:v>
      </x:c>
      <x:c r="F20" s="46" t="n">
        <x:v>46220</x:v>
      </x:c>
    </x:row>
    <x:row r="21">
      <x:c r="A21" s="38" t="str">
        <x:v>SRC-006</x:v>
      </x:c>
      <x:c r="B21" s="38" t="str">
        <x:v>欧派官网公开全屋设计案例</x:v>
      </x:c>
      <x:c r="C21" s="38" t="str">
        <x:v>立方体现代简约四居室</x:v>
      </x:c>
      <x:c r="D21" s="38" t="str">
        <x:v>https://www.oppein.cn/homematch/582</x:v>
      </x:c>
      <x:c r="E21" s="38" t="str">
        <x:v>标题、页面存在、主图URL；不证明真实成交</x:v>
      </x:c>
      <x:c r="F21" s="46" t="n">
        <x:v>46220</x:v>
      </x:c>
    </x:row>
    <x:row r="22">
      <x:c r="A22" s="38" t="str">
        <x:v>SRC-007</x:v>
      </x:c>
      <x:c r="B22" s="38" t="str">
        <x:v>欧派官网公开全屋设计案例</x:v>
      </x:c>
      <x:c r="C22" s="38" t="str">
        <x:v>摩尔庄园欧式田园三居室</x:v>
      </x:c>
      <x:c r="D22" s="38" t="str">
        <x:v>https://www.oppein.cn/homematch/584</x:v>
      </x:c>
      <x:c r="E22" s="38" t="str">
        <x:v>标题、页面存在、主图URL；不证明真实成交</x:v>
      </x:c>
      <x:c r="F22" s="46" t="n">
        <x:v>46220</x:v>
      </x:c>
    </x:row>
    <x:row r="23">
      <x:c r="A23" s="38" t="str">
        <x:v>SRC-008</x:v>
      </x:c>
      <x:c r="B23" s="38" t="str">
        <x:v>欧派官网公开全屋设计案例</x:v>
      </x:c>
      <x:c r="C23" s="38" t="str">
        <x:v>桂香梨现代简约三居室</x:v>
      </x:c>
      <x:c r="D23" s="38" t="str">
        <x:v>https://www.oppein.cn/homematch/587</x:v>
      </x:c>
      <x:c r="E23" s="38" t="str">
        <x:v>标题、页面存在、主图URL；不证明真实成交</x:v>
      </x:c>
      <x:c r="F23" s="46" t="n">
        <x:v>46220</x:v>
      </x:c>
    </x:row>
    <x:row r="24">
      <x:c r="A24" s="38" t="str">
        <x:v>SRC-009</x:v>
      </x:c>
      <x:c r="B24" s="38" t="str">
        <x:v>欧派官网公开全屋设计案例</x:v>
      </x:c>
      <x:c r="C24" s="38" t="str">
        <x:v>美式田园风格全屋方案</x:v>
      </x:c>
      <x:c r="D24" s="38" t="str">
        <x:v>https://www.oppein.cn/homematch/602</x:v>
      </x:c>
      <x:c r="E24" s="38" t="str">
        <x:v>标题、页面存在、主图URL；不证明真实成交</x:v>
      </x:c>
      <x:c r="F24" s="46" t="n">
        <x:v>46220</x:v>
      </x:c>
    </x:row>
    <x:row r="25">
      <x:c r="A25" s="38" t="str">
        <x:v>SRC-010</x:v>
      </x:c>
      <x:c r="B25" s="38" t="str">
        <x:v>欧派官网公开全屋设计案例</x:v>
      </x:c>
      <x:c r="C25" s="38" t="str">
        <x:v>轻奢北欧风98.00㎡</x:v>
      </x:c>
      <x:c r="D25" s="38" t="str">
        <x:v>https://www.oppein.cn/homematch/604</x:v>
      </x:c>
      <x:c r="E25" s="38" t="str">
        <x:v>标题、页面存在、主图URL；不证明真实成交</x:v>
      </x:c>
      <x:c r="F25" s="46" t="n">
        <x:v>46220</x:v>
      </x:c>
    </x:row>
    <x:row r="26">
      <x:c r="A26" s="38" t="str">
        <x:v>SRC-011</x:v>
      </x:c>
      <x:c r="B26" s="38" t="str">
        <x:v>欧派官网公开全屋设计案例</x:v>
      </x:c>
      <x:c r="C26" s="38" t="str">
        <x:v>年轻北欧风格三房两厅</x:v>
      </x:c>
      <x:c r="D26" s="38" t="str">
        <x:v>https://www.oppein.cn/homematch/603</x:v>
      </x:c>
      <x:c r="E26" s="38" t="str">
        <x:v>标题、页面存在、主图URL；不证明真实成交</x:v>
      </x:c>
      <x:c r="F26" s="46" t="n">
        <x:v>46220</x:v>
      </x:c>
    </x:row>
    <x:row r="27">
      <x:c r="A27" s="38" t="str">
        <x:v>SRC-012</x:v>
      </x:c>
      <x:c r="B27" s="38" t="str">
        <x:v>欧派官网公开全屋设计案例</x:v>
      </x:c>
      <x:c r="C27" s="38" t="str">
        <x:v>现代风格全屋家具</x:v>
      </x:c>
      <x:c r="D27" s="38" t="str">
        <x:v>https://www.oppein.cn/homematch/601</x:v>
      </x:c>
      <x:c r="E27" s="38" t="str">
        <x:v>标题、页面存在、主图URL；不证明真实成交</x:v>
      </x:c>
      <x:c r="F27" s="46" t="n">
        <x:v>46220</x:v>
      </x:c>
    </x:row>
    <x:row r="28">
      <x:c r="A28" s="38" t="str">
        <x:v>SRC-013</x:v>
      </x:c>
      <x:c r="B28" s="38" t="str">
        <x:v>欧派官网公开全屋设计案例</x:v>
      </x:c>
      <x:c r="C28" s="38" t="str">
        <x:v>女性风格现代全屋定制</x:v>
      </x:c>
      <x:c r="D28" s="38" t="str">
        <x:v>https://www.oppein.cn/homematch/600</x:v>
      </x:c>
      <x:c r="E28" s="38" t="str">
        <x:v>标题、页面存在、主图URL；不证明真实成交</x:v>
      </x:c>
      <x:c r="F28" s="46" t="n">
        <x:v>46220</x:v>
      </x:c>
    </x:row>
    <x:row r="29">
      <x:c r="A29" s="38" t="str">
        <x:v>SRC-014</x:v>
      </x:c>
      <x:c r="B29" s="38" t="str">
        <x:v>欧派官网公开全屋设计案例</x:v>
      </x:c>
      <x:c r="C29" s="38" t="str">
        <x:v>焦糖风情温暖风94㎡设计案例</x:v>
      </x:c>
      <x:c r="D29" s="38" t="str">
        <x:v>https://www.oppein.cn/homematch/596</x:v>
      </x:c>
      <x:c r="E29" s="38" t="str">
        <x:v>标题、页面存在、主图URL；不证明真实成交</x:v>
      </x:c>
      <x:c r="F29" s="46" t="n">
        <x:v>46220</x:v>
      </x:c>
    </x:row>
    <x:row r="30">
      <x:c r="A30" s="38" t="str">
        <x:v>SRC-015</x:v>
      </x:c>
      <x:c r="B30" s="38" t="str">
        <x:v>欧派官网公开全屋设计案例</x:v>
      </x:c>
      <x:c r="C30" s="38" t="str">
        <x:v>66㎡中式古韵风两房两厅设计</x:v>
      </x:c>
      <x:c r="D30" s="38" t="str">
        <x:v>https://www.oppein.cn/homematch/595</x:v>
      </x:c>
      <x:c r="E30" s="38" t="str">
        <x:v>标题、页面存在、主图URL；不证明真实成交</x:v>
      </x:c>
      <x:c r="F30" s="46" t="n">
        <x:v>46220</x:v>
      </x:c>
    </x:row>
    <x:row r="31">
      <x:c r="A31" s="38" t="str">
        <x:v>SRC-016</x:v>
      </x:c>
      <x:c r="B31" s="38" t="str">
        <x:v>欧派官网公开全屋设计案例</x:v>
      </x:c>
      <x:c r="C31" s="38" t="str">
        <x:v>简约随性105㎡三房两厅</x:v>
      </x:c>
      <x:c r="D31" s="38" t="str">
        <x:v>https://www.oppein.cn/homematch/588</x:v>
      </x:c>
      <x:c r="E31" s="38" t="str">
        <x:v>标题、页面存在、主图URL；不证明真实成交</x:v>
      </x:c>
      <x:c r="F31" s="46" t="n">
        <x:v>46220</x:v>
      </x:c>
    </x:row>
    <x:row r="32">
      <x:c r="A32" s="38" t="str">
        <x:v>SRC-017</x:v>
      </x:c>
      <x:c r="B32" s="38" t="str">
        <x:v>欧派官网公开全屋设计案例</x:v>
      </x:c>
      <x:c r="C32" s="38" t="str">
        <x:v>简约浪漫的三居室</x:v>
      </x:c>
      <x:c r="D32" s="38" t="str">
        <x:v>https://www.oppein.cn/homematch/577</x:v>
      </x:c>
      <x:c r="E32" s="38" t="str">
        <x:v>标题、页面存在、主图URL；不证明真实成交</x:v>
      </x:c>
      <x:c r="F32" s="46" t="n">
        <x:v>46220</x:v>
      </x:c>
    </x:row>
    <x:row r="33">
      <x:c r="A33" s="38" t="str">
        <x:v>SRC-018</x:v>
      </x:c>
      <x:c r="B33" s="38" t="str">
        <x:v>欧派官网公开全屋设计案例</x:v>
      </x:c>
      <x:c r="C33" s="38" t="str">
        <x:v>餐厨合一40㎡浪漫一居</x:v>
      </x:c>
      <x:c r="D33" s="38" t="str">
        <x:v>https://www.oppein.cn/homematch/572</x:v>
      </x:c>
      <x:c r="E33" s="38" t="str">
        <x:v>标题、页面存在、主图URL；不证明真实成交</x:v>
      </x:c>
      <x:c r="F33" s="46" t="n">
        <x:v>46220</x:v>
      </x:c>
    </x:row>
    <x:row r="34">
      <x:c r="A34" s="38" t="str">
        <x:v>SRC-019</x:v>
      </x:c>
      <x:c r="B34" s="38" t="str">
        <x:v>欧派官网公开全屋设计案例</x:v>
      </x:c>
      <x:c r="C34" s="38" t="str">
        <x:v>86.36㎡活用收纳三居</x:v>
      </x:c>
      <x:c r="D34" s="38" t="str">
        <x:v>https://www.oppein.cn/homematch/568</x:v>
      </x:c>
      <x:c r="E34" s="38" t="str">
        <x:v>标题、页面存在、主图URL；不证明真实成交</x:v>
      </x:c>
      <x:c r="F34" s="46" t="n">
        <x:v>46220</x:v>
      </x:c>
    </x:row>
    <x:row r="35">
      <x:c r="A35" s="38" t="str">
        <x:v>SRC-020</x:v>
      </x:c>
      <x:c r="B35" s="38" t="str">
        <x:v>欧派官网公开全屋设计案例</x:v>
      </x:c>
      <x:c r="C35" s="38" t="str">
        <x:v>都市新贵简欧风三居</x:v>
      </x:c>
      <x:c r="D35" s="38" t="str">
        <x:v>https://www.oppein.cn/homematch/564</x:v>
      </x:c>
      <x:c r="E35" s="38" t="str">
        <x:v>标题、页面存在、主图URL；不证明真实成交</x:v>
      </x:c>
      <x:c r="F35" s="46" t="n">
        <x:v>46220</x:v>
      </x:c>
    </x:row>
    <x:row r="36">
      <x:c r="A36" s="38" t="str">
        <x:v>SRC-021</x:v>
      </x:c>
      <x:c r="B36" s="38" t="str">
        <x:v>欧派官网公开全屋设计案例</x:v>
      </x:c>
      <x:c r="C36" s="38" t="str">
        <x:v>相守幸福69㎡明媚两居</x:v>
      </x:c>
      <x:c r="D36" s="38" t="str">
        <x:v>https://www.oppein.cn/homematch/563</x:v>
      </x:c>
      <x:c r="E36" s="38" t="str">
        <x:v>标题、页面存在、主图URL；不证明真实成交</x:v>
      </x:c>
      <x:c r="F36" s="46" t="n">
        <x:v>46220</x:v>
      </x:c>
    </x:row>
    <x:row r="37">
      <x:c r="A37" s="38" t="str">
        <x:v>SRC-022</x:v>
      </x:c>
      <x:c r="B37" s="38" t="str">
        <x:v>欧派官网公开全屋设计案例</x:v>
      </x:c>
      <x:c r="C37" s="38" t="str">
        <x:v>简约潮流范125㎡三居</x:v>
      </x:c>
      <x:c r="D37" s="38" t="str">
        <x:v>https://www.oppein.cn/homematch/557</x:v>
      </x:c>
      <x:c r="E37" s="38" t="str">
        <x:v>标题、页面存在、主图URL；不证明真实成交</x:v>
      </x:c>
      <x:c r="F37" s="46" t="n">
        <x:v>46220</x:v>
      </x:c>
    </x:row>
    <x:row r="38">
      <x:c r="A38" s="38" t="str">
        <x:v>SRC-023</x:v>
      </x:c>
      <x:c r="B38" s="38" t="str">
        <x:v>欧派官网公开全屋设计案例</x:v>
      </x:c>
      <x:c r="C38" s="38" t="str">
        <x:v>69㎡木色生香北欧风两居</x:v>
      </x:c>
      <x:c r="D38" s="38" t="str">
        <x:v>https://www.oppein.cn/homematch/556</x:v>
      </x:c>
      <x:c r="E38" s="38" t="str">
        <x:v>标题、页面存在、主图URL；不证明真实成交</x:v>
      </x:c>
      <x:c r="F38" s="46" t="n">
        <x:v>46220</x:v>
      </x:c>
    </x:row>
    <x:row r="39">
      <x:c r="A39" s="38" t="str">
        <x:v>SRC-024</x:v>
      </x:c>
      <x:c r="B39" s="38" t="str">
        <x:v>欧派官网公开全屋设计案例</x:v>
      </x:c>
      <x:c r="C39" s="38" t="str">
        <x:v>120㎡新中式雅致三居</x:v>
      </x:c>
      <x:c r="D39" s="38" t="str">
        <x:v>https://www.oppein.cn/homematch/552</x:v>
      </x:c>
      <x:c r="E39" s="38" t="str">
        <x:v>标题、页面存在、主图URL；不证明真实成交</x:v>
      </x:c>
      <x:c r="F39" s="46" t="n">
        <x:v>46220</x:v>
      </x:c>
    </x:row>
    <x:row r="40">
      <x:c r="A40" s="38" t="str">
        <x:v>SRC-025</x:v>
      </x:c>
      <x:c r="B40" s="38" t="str">
        <x:v>欧派官网公开全屋设计案例</x:v>
      </x:c>
      <x:c r="C40" s="38" t="str">
        <x:v>亮丽北欧风78㎡潮流两居</x:v>
      </x:c>
      <x:c r="D40" s="38" t="str">
        <x:v>https://www.oppein.cn/homematch/551</x:v>
      </x:c>
      <x:c r="E40" s="38" t="str">
        <x:v>标题、页面存在、主图URL；不证明真实成交</x:v>
      </x:c>
      <x:c r="F40" s="46" t="n">
        <x:v>46220</x:v>
      </x:c>
    </x:row>
    <x:row r="41">
      <x:c r="A41" s="38" t="str">
        <x:v>SRC-026</x:v>
      </x:c>
      <x:c r="B41" s="38" t="str">
        <x:v>欧派官网公开全屋设计案例</x:v>
      </x:c>
      <x:c r="C41" s="38" t="str">
        <x:v>治愈系简欧风全家和乐三居</x:v>
      </x:c>
      <x:c r="D41" s="38" t="str">
        <x:v>https://www.oppein.cn/homematch/546</x:v>
      </x:c>
      <x:c r="E41" s="38" t="str">
        <x:v>标题、页面存在、主图URL；不证明真实成交</x:v>
      </x:c>
      <x:c r="F41" s="46" t="n">
        <x:v>46220</x:v>
      </x:c>
    </x:row>
    <x:row r="42">
      <x:c r="A42" s="38" t="str">
        <x:v>SRC-027</x:v>
      </x:c>
      <x:c r="B42" s="38" t="str">
        <x:v>欧派官网公开全屋设计案例</x:v>
      </x:c>
      <x:c r="C42" s="38" t="str">
        <x:v>120㎡简欧轻奢主义三居</x:v>
      </x:c>
      <x:c r="D42" s="38" t="str">
        <x:v>https://www.oppein.cn/homematch/505</x:v>
      </x:c>
      <x:c r="E42" s="38" t="str">
        <x:v>标题、页面存在、主图URL；不证明真实成交</x:v>
      </x:c>
      <x:c r="F42" s="46" t="n">
        <x:v>46220</x:v>
      </x:c>
    </x:row>
    <x:row r="43">
      <x:c r="A43" s="38" t="str">
        <x:v>SRC-028</x:v>
      </x:c>
      <x:c r="B43" s="38" t="str">
        <x:v>欧派官网公开全屋设计案例</x:v>
      </x:c>
      <x:c r="C43" s="38" t="str">
        <x:v>100㎡两居完美利用墙面空间</x:v>
      </x:c>
      <x:c r="D43" s="38" t="str">
        <x:v>https://www.oppein.cn/homematch/496</x:v>
      </x:c>
      <x:c r="E43" s="38" t="str">
        <x:v>标题、页面存在、主图URL；不证明真实成交</x:v>
      </x:c>
      <x:c r="F43" s="46" t="n">
        <x:v>46220</x:v>
      </x:c>
    </x:row>
    <x:row r="44">
      <x:c r="A44" s="38" t="str">
        <x:v>SRC-029</x:v>
      </x:c>
      <x:c r="B44" s="38" t="str">
        <x:v>欧派官网公开全屋设计案例</x:v>
      </x:c>
      <x:c r="C44" s="38" t="str">
        <x:v>巧收纳77.06㎡两居</x:v>
      </x:c>
      <x:c r="D44" s="38" t="str">
        <x:v>https://www.oppein.cn/homematch/491</x:v>
      </x:c>
      <x:c r="E44" s="38" t="str">
        <x:v>标题、页面存在、主图URL；不证明真实成交</x:v>
      </x:c>
      <x:c r="F44" s="46" t="n">
        <x:v>46220</x:v>
      </x:c>
    </x:row>
    <x:row r="45">
      <x:c r="A45" s="38" t="str">
        <x:v>SRC-030</x:v>
      </x:c>
      <x:c r="B45" s="38" t="str">
        <x:v>欧派官网公开全屋设计案例</x:v>
      </x:c>
      <x:c r="C45" s="38" t="str">
        <x:v>一居60㎡高规格实用家装</x:v>
      </x:c>
      <x:c r="D45" s="38" t="str">
        <x:v>https://www.oppein.cn/homematch/486</x:v>
      </x:c>
      <x:c r="E45" s="38" t="str">
        <x:v>标题、页面存在、主图URL；不证明真实成交</x:v>
      </x:c>
      <x:c r="F45" s="46" t="n">
        <x:v>46220</x:v>
      </x:c>
    </x:row>
    <x:row r="46">
      <x:c r="A46" s="38" t="str">
        <x:v>SRC-031</x:v>
      </x:c>
      <x:c r="B46" s="38" t="str">
        <x:v>欧派官网公开全屋设计案例</x:v>
      </x:c>
      <x:c r="C46" s="38" t="str">
        <x:v>邂逅古典 雅韵两居</x:v>
      </x:c>
      <x:c r="D46" s="38" t="str">
        <x:v>https://www.oppein.cn/homematch/477</x:v>
      </x:c>
      <x:c r="E46" s="38" t="str">
        <x:v>标题、页面存在、主图URL；不证明真实成交</x:v>
      </x:c>
      <x:c r="F46" s="46" t="n">
        <x:v>46220</x:v>
      </x:c>
    </x:row>
    <x:row r="47">
      <x:c r="A47" s="38" t="str">
        <x:v>SRC-032</x:v>
      </x:c>
      <x:c r="B47" s="38" t="str">
        <x:v>欧派官网公开全屋设计案例</x:v>
      </x:c>
      <x:c r="C47" s="38" t="str">
        <x:v>春风入户81.01㎡舒适两居</x:v>
      </x:c>
      <x:c r="D47" s="38" t="str">
        <x:v>https://www.oppein.cn/homematch/450</x:v>
      </x:c>
      <x:c r="E47" s="38" t="str">
        <x:v>标题、页面存在、主图URL；不证明真实成交</x:v>
      </x:c>
      <x:c r="F47" s="46" t="n">
        <x:v>46220</x:v>
      </x:c>
    </x:row>
    <x:row r="48">
      <x:c r="A48" s="38" t="str">
        <x:v>SRC-033</x:v>
      </x:c>
      <x:c r="B48" s="38" t="str">
        <x:v>欧派官网公开全屋设计案例</x:v>
      </x:c>
      <x:c r="C48" s="38" t="str">
        <x:v>49㎡创意生活浪漫一居</x:v>
      </x:c>
      <x:c r="D48" s="38" t="str">
        <x:v>https://www.oppein.cn/homematch/443</x:v>
      </x:c>
      <x:c r="E48" s="38" t="str">
        <x:v>标题、页面存在、主图URL；不证明真实成交</x:v>
      </x:c>
      <x:c r="F48" s="46" t="n">
        <x:v>46220</x:v>
      </x:c>
    </x:row>
    <x:row r="49">
      <x:c r="A49" s="38" t="str">
        <x:v>SRC-034</x:v>
      </x:c>
      <x:c r="B49" s="38" t="str">
        <x:v>欧派官网公开全屋设计案例</x:v>
      </x:c>
      <x:c r="C49" s="38" t="str">
        <x:v>95㎡两居淡泊宁静的家</x:v>
      </x:c>
      <x:c r="D49" s="38" t="str">
        <x:v>https://www.oppein.cn/homematch/363</x:v>
      </x:c>
      <x:c r="E49" s="38" t="str">
        <x:v>标题、页面存在、主图URL；不证明真实成交</x:v>
      </x:c>
      <x:c r="F49" s="46" t="n">
        <x:v>46220</x:v>
      </x:c>
    </x:row>
    <x:row r="50">
      <x:c r="A50" s="38" t="str">
        <x:v>SRC-035</x:v>
      </x:c>
      <x:c r="B50" s="38" t="str">
        <x:v>欧派官网公开全屋设计案例</x:v>
      </x:c>
      <x:c r="C50" s="38" t="str">
        <x:v>70㎡小清新温馨两居</x:v>
      </x:c>
      <x:c r="D50" s="38" t="str">
        <x:v>https://www.oppein.cn/homematch/348</x:v>
      </x:c>
      <x:c r="E50" s="38" t="str">
        <x:v>标题、页面存在、主图URL；不证明真实成交</x:v>
      </x:c>
      <x:c r="F50" s="46" t="n">
        <x:v>46220</x:v>
      </x:c>
    </x:row>
    <x:row r="51">
      <x:c r="A51" s="38" t="str">
        <x:v>SRC-036</x:v>
      </x:c>
      <x:c r="B51" s="38" t="str">
        <x:v>欧派官网公开全屋设计案例</x:v>
      </x:c>
      <x:c r="C51" s="38" t="str">
        <x:v>浪漫地中海风格三居</x:v>
      </x:c>
      <x:c r="D51" s="38" t="str">
        <x:v>https://www.oppein.cn/homematch/289</x:v>
      </x:c>
      <x:c r="E51" s="38" t="str">
        <x:v>标题、页面存在、主图URL；不证明真实成交</x:v>
      </x:c>
      <x:c r="F51" s="46" t="n">
        <x:v>46220</x:v>
      </x:c>
    </x:row>
    <x:row r="52">
      <x:c r="A52" s="38" t="str">
        <x:v>SRC-037</x:v>
      </x:c>
      <x:c r="B52" s="38" t="str">
        <x:v>欧派官网公开全屋设计案例</x:v>
      </x:c>
      <x:c r="C52" s="38" t="str">
        <x:v>80㎡三居休闲自然之家</x:v>
      </x:c>
      <x:c r="D52" s="38" t="str">
        <x:v>https://www.oppein.cn/homematch/278</x:v>
      </x:c>
      <x:c r="E52" s="38" t="str">
        <x:v>标题、页面存在、主图URL；不证明真实成交</x:v>
      </x:c>
      <x:c r="F52" s="46" t="n">
        <x:v>46220</x:v>
      </x:c>
    </x:row>
    <x:row r="53">
      <x:c r="A53" s="38" t="str">
        <x:v>SRC-038</x:v>
      </x:c>
      <x:c r="B53" s="38" t="str">
        <x:v>欧派官网公开全屋设计案例</x:v>
      </x:c>
      <x:c r="C53" s="38" t="str">
        <x:v>39㎡时尚混搭单身公寓</x:v>
      </x:c>
      <x:c r="D53" s="38" t="str">
        <x:v>https://www.oppein.cn/homematch/244</x:v>
      </x:c>
      <x:c r="E53" s="38" t="str">
        <x:v>标题、页面存在、主图URL；不证明真实成交</x:v>
      </x:c>
      <x:c r="F53" s="46" t="n">
        <x:v>46220</x:v>
      </x:c>
    </x:row>
    <x:row r="54">
      <x:c r="A54" s="38" t="str">
        <x:v>SRC-039</x:v>
      </x:c>
      <x:c r="B54" s="38" t="str">
        <x:v>欧派官网公开全屋设计案例</x:v>
      </x:c>
      <x:c r="C54" s="38" t="str">
        <x:v>85㎡中式古朴素雅三居</x:v>
      </x:c>
      <x:c r="D54" s="38" t="str">
        <x:v>https://www.oppein.cn/homematch/221</x:v>
      </x:c>
      <x:c r="E54" s="38" t="str">
        <x:v>标题、页面存在、主图URL；不证明真实成交</x:v>
      </x:c>
      <x:c r="F54" s="46" t="n">
        <x:v>46220</x:v>
      </x:c>
    </x:row>
    <x:row r="55">
      <x:c r="A55" s="38" t="str">
        <x:v>SRC-040</x:v>
      </x:c>
      <x:c r="B55" s="38" t="str">
        <x:v>欧派官网公开全屋设计案例</x:v>
      </x:c>
      <x:c r="C55" s="38" t="str">
        <x:v>91㎡三居欧式田园温馨之家</x:v>
      </x:c>
      <x:c r="D55" s="38" t="str">
        <x:v>https://www.oppein.cn/homematch/215</x:v>
      </x:c>
      <x:c r="E55" s="38" t="str">
        <x:v>标题、页面存在、主图URL；不证明真实成交</x:v>
      </x:c>
      <x:c r="F55" s="46" t="n">
        <x:v>46220</x:v>
      </x:c>
    </x:row>
    <x:row r="56">
      <x:c r="A56" s="38" t="str">
        <x:v>SRC-041</x:v>
      </x:c>
      <x:c r="B56" s="38" t="str">
        <x:v>欧派官网公开全屋设计案例</x:v>
      </x:c>
      <x:c r="C56" s="38" t="str">
        <x:v>123㎡温馨舒适的三居之家</x:v>
      </x:c>
      <x:c r="D56" s="38" t="str">
        <x:v>https://www.oppein.cn/homematch/203</x:v>
      </x:c>
      <x:c r="E56" s="38" t="str">
        <x:v>标题、页面存在、主图URL；不证明真实成交</x:v>
      </x:c>
      <x:c r="F56" s="46" t="n">
        <x:v>46220</x:v>
      </x:c>
    </x:row>
    <x:row r="57">
      <x:c r="A57" s="38" t="str">
        <x:v>SRC-042</x:v>
      </x:c>
      <x:c r="B57" s="38" t="str">
        <x:v>欧派官网公开全屋设计案例</x:v>
      </x:c>
      <x:c r="C57" s="38" t="str">
        <x:v>85㎡两居浪漫地中海风格之家</x:v>
      </x:c>
      <x:c r="D57" s="38" t="str">
        <x:v>https://www.oppein.cn/homematch/186</x:v>
      </x:c>
      <x:c r="E57" s="38" t="str">
        <x:v>标题、页面存在、主图URL；不证明真实成交</x:v>
      </x:c>
      <x:c r="F57" s="46" t="n">
        <x:v>46220</x:v>
      </x:c>
    </x:row>
    <x:row r="58">
      <x:c r="A58" s="38" t="str">
        <x:v>SRC-043</x:v>
      </x:c>
      <x:c r="B58" s="38" t="str">
        <x:v>欧派官网公开全屋设计案例</x:v>
      </x:c>
      <x:c r="C58" s="38" t="str">
        <x:v>回归自然的朴素之家</x:v>
      </x:c>
      <x:c r="D58" s="38" t="str">
        <x:v>https://www.oppein.cn/homematch/164</x:v>
      </x:c>
      <x:c r="E58" s="38" t="str">
        <x:v>标题、页面存在、主图URL；不证明真实成交</x:v>
      </x:c>
      <x:c r="F58" s="46" t="n">
        <x:v>46220</x:v>
      </x:c>
    </x:row>
    <x:row r="59">
      <x:c r="A59" s="38" t="str">
        <x:v>SRC-044</x:v>
      </x:c>
      <x:c r="B59" s="38" t="str">
        <x:v>欧派官网公开全屋设计案例</x:v>
      </x:c>
      <x:c r="C59" s="38" t="str">
        <x:v>81㎡别致温馨小二居</x:v>
      </x:c>
      <x:c r="D59" s="38" t="str">
        <x:v>https://www.oppein.cn/homematch/91</x:v>
      </x:c>
      <x:c r="E59" s="38" t="str">
        <x:v>标题、页面存在、主图URL；不证明真实成交</x:v>
      </x:c>
      <x:c r="F59" s="46" t="n">
        <x:v>46220</x:v>
      </x:c>
    </x:row>
    <x:row r="60">
      <x:c r="A60" s="38" t="str">
        <x:v>SRC-045</x:v>
      </x:c>
      <x:c r="B60" s="38" t="str">
        <x:v>欧派官网公开全屋设计案例</x:v>
      </x:c>
      <x:c r="C60" s="38" t="str">
        <x:v>精致公寓 现代时尚完美结合</x:v>
      </x:c>
      <x:c r="D60" s="38" t="str">
        <x:v>https://www.oppein.cn/homematch/67</x:v>
      </x:c>
      <x:c r="E60" s="38" t="str">
        <x:v>标题、页面存在、主图URL；不证明真实成交</x:v>
      </x:c>
      <x:c r="F60" s="46" t="n">
        <x:v>46220</x:v>
      </x:c>
    </x:row>
    <x:row r="61">
      <x:c r="A61" s="38" t="str">
        <x:v>SRC-TREND-001</x:v>
      </x:c>
      <x:c r="B61" s="38" t="str">
        <x:v>公开趋势报告</x:v>
      </x:c>
      <x:c r="C61" s="38" t="str">
        <x:v>2025年空间美学设计趋势报告</x:v>
      </x:c>
      <x:c r="D61" s="38" t="str">
        <x:v>https://pdf.dfcfw.com/pdf/H3_AP202409181639911840_1.pdf</x:v>
      </x:c>
      <x:c r="E61" s="38" t="str">
        <x:v>用于补充生活方式场景：适老、适宠、多孩、三代、单身友好；不用于证明个案</x:v>
      </x:c>
      <x:c r="F61" s="46" t="n">
        <x:v>46220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4" customHeight="1">
      <x:c r="A1" s="43" t="str">
        <x:v>数据质量检查</x:v>
      </x:c>
      <x:c r="B1" s="43"/>
      <x:c r="C1" s="43"/>
      <x:c r="D1" s="43"/>
    </x:row>
    <x:row r="2">
      <x:c r="A2" s="38"/>
      <x:c r="B2" s="38"/>
      <x:c r="C2" s="38"/>
      <x:c r="D2" s="38"/>
    </x:row>
    <x:row r="3">
      <x:c r="A3" s="40" t="str">
        <x:v>检查项</x:v>
      </x:c>
      <x:c r="B3" s="40" t="str">
        <x:v>结果</x:v>
      </x:c>
      <x:c r="C3" s="40" t="str">
        <x:v>目标</x:v>
      </x:c>
      <x:c r="D3" s="40" t="str">
        <x:v>判定</x:v>
      </x:c>
    </x:row>
    <x:row r="4">
      <x:c r="A4" s="41" t="str">
        <x:v>案例行数</x:v>
      </x:c>
      <x:c r="B4" s="41" t="n">
        <x:f>COUNTA('案例主表'!$A$2:$A$61)</x:f>
        <x:v>60</x:v>
      </x:c>
      <x:c r="C4" s="41" t="n">
        <x:v>60</x:v>
      </x:c>
      <x:c r="D4" s="41" t="str">
        <x:f>IF(B4=C4,"PASS","CHECK")</x:f>
        <x:v>PASS</x:v>
      </x:c>
    </x:row>
    <x:row r="5">
      <x:c r="A5" s="41" t="str">
        <x:v>官网公开案例+AI补全</x:v>
      </x:c>
      <x:c r="B5" s="41" t="n">
        <x:f>COUNTIF('案例主表'!$C$2:$C$61,"官网公开案例+AI补全")</x:f>
        <x:v>45</x:v>
      </x:c>
      <x:c r="C5" s="41" t="n">
        <x:v>45</x:v>
      </x:c>
      <x:c r="D5" s="41" t="str">
        <x:f>IF(B5=C5,"PASS","CHECK")</x:f>
        <x:v>PASS</x:v>
      </x:c>
    </x:row>
    <x:row r="6">
      <x:c r="A6" s="41" t="str">
        <x:v>纯AI模拟</x:v>
      </x:c>
      <x:c r="B6" s="41" t="n">
        <x:f>COUNTIF('案例主表'!$C$2:$C$61,"纯AI模拟")</x:f>
        <x:v>15</x:v>
      </x:c>
      <x:c r="C6" s="41" t="n">
        <x:v>15</x:v>
      </x:c>
      <x:c r="D6" s="41" t="str">
        <x:f>IF(B6=C6,"PASS","CHECK")</x:f>
        <x:v>PASS</x:v>
      </x:c>
    </x:row>
    <x:row r="7">
      <x:c r="A7" s="41" t="str">
        <x:v>ID重复行</x:v>
      </x:c>
      <x:c r="B7" s="41" t="n">
        <x:f>COUNTIF('案例主表'!$AM$2:$AM$61,"&gt;1")</x:f>
        <x:v>0</x:v>
      </x:c>
      <x:c r="C7" s="41" t="n">
        <x:v>0</x:v>
      </x:c>
      <x:c r="D7" s="41" t="str">
        <x:f>IF(B7=C7,"PASS","CHECK")</x:f>
        <x:v>PASS</x:v>
      </x:c>
    </x:row>
    <x:row r="8">
      <x:c r="A8" s="41" t="str">
        <x:v>基础QC通过</x:v>
      </x:c>
      <x:c r="B8" s="41" t="n">
        <x:f>COUNTIF('案例主表'!$AN$2:$AN$61,"PASS")</x:f>
        <x:v>60</x:v>
      </x:c>
      <x:c r="C8" s="41" t="n">
        <x:v>60</x:v>
      </x:c>
      <x:c r="D8" s="41" t="str">
        <x:f>IF(B8=C8,"PASS","CHECK")</x:f>
        <x:v>PASS</x:v>
      </x:c>
    </x:row>
    <x:row r="9">
      <x:c r="A9" s="41" t="str">
        <x:v>无真实成交证明</x:v>
      </x:c>
      <x:c r="B9" s="41" t="n">
        <x:f>COUNTIF('案例主表'!$AC$2:$AC$61,"无")</x:f>
        <x:v>60</x:v>
      </x:c>
      <x:c r="C9" s="41" t="n">
        <x:v>60</x:v>
      </x:c>
      <x:c r="D9" s="41" t="str">
        <x:f>IF(B9=C9,"PASS","CHECK")</x:f>
        <x:v>PASS</x:v>
      </x:c>
    </x:row>
    <x:row r="10">
      <x:c r="A10" s="41" t="str">
        <x:v>公开案例URL完整</x:v>
      </x:c>
      <x:c r="B10" s="41" t="n">
        <x:f>COUNTIFS('案例主表'!$C$2:$C$61,"官网公开案例+AI补全",'案例主表'!$E$2:$E$61,"&lt;&gt;")</x:f>
        <x:v>45</x:v>
      </x:c>
      <x:c r="C10" s="41" t="n">
        <x:v>45</x:v>
      </x:c>
      <x:c r="D10" s="41" t="str">
        <x:f>IF(B10=C10,"PASS","CHECK")</x:f>
        <x:v>PASS</x:v>
      </x:c>
    </x:row>
    <x:row r="11">
      <x:c r="A11" s="41" t="str">
        <x:v>模拟SKU行数</x:v>
      </x:c>
      <x:c r="B11" s="41" t="n">
        <x:f>COUNTA('模拟SKU'!$A$2:$A$241)</x:f>
        <x:v>240</x:v>
      </x:c>
      <x:c r="C11" s="41" t="n">
        <x:v>240</x:v>
      </x:c>
      <x:c r="D11" s="41" t="str">
        <x:f>IF(B11=C11,"PASS","CHECK")</x:f>
        <x:v>PASS</x:v>
      </x:c>
    </x:row>
    <x:row r="12">
      <x:c r="A12" s="38"/>
      <x:c r="B12" s="38"/>
      <x:c r="C12" s="38"/>
      <x:c r="D12" s="38"/>
    </x:row>
    <x:row r="13">
      <x:c r="A13" s="38"/>
      <x:c r="B13" s="38"/>
      <x:c r="C13" s="38"/>
      <x:c r="D13" s="38"/>
    </x:row>
    <x:row r="14">
      <x:c r="A14" s="47" t="str">
        <x:v>人工复核项</x:v>
      </x:c>
      <x:c r="B14" s="47" t="str">
        <x:v>状态</x:v>
      </x:c>
      <x:c r="C14" s="47" t="str">
        <x:v>说明</x:v>
      </x:c>
      <x:c r="D14" s="47" t="str">
        <x:v>负责人</x:v>
      </x:c>
    </x:row>
    <x:row r="15">
      <x:c r="A15" s="42" t="str">
        <x:v>官网图片授权</x:v>
      </x:c>
      <x:c r="B15" s="42" t="str">
        <x:v>待确认</x:v>
      </x:c>
      <x:c r="C15" s="42" t="str">
        <x:v>当前只保存原始URL；公开展示前需授权</x:v>
      </x:c>
      <x:c r="D15" s="42" t="str">
        <x:v>项目组</x:v>
      </x:c>
    </x:row>
    <x:row r="16">
      <x:c r="A16" s="42" t="str">
        <x:v>真实SKU映射</x:v>
      </x:c>
      <x:c r="B16" s="42" t="str">
        <x:v>未开始</x:v>
      </x:c>
      <x:c r="C16" s="42" t="str">
        <x:v>DEMO-SKU不可映射真实产品</x:v>
      </x:c>
      <x:c r="D16" s="42" t="str">
        <x:v>后续接业务系统</x:v>
      </x:c>
    </x:row>
    <x:row r="17">
      <x:c r="A17" s="42" t="str">
        <x:v>真实成交字段</x:v>
      </x:c>
      <x:c r="B17" s="42" t="str">
        <x:v>不可用</x:v>
      </x:c>
      <x:c r="C17" s="42" t="str">
        <x:v>当前无合同/订单/付款证据</x:v>
      </x:c>
      <x:c r="D17" s="42" t="str">
        <x:v>不得对外声称</x:v>
      </x:c>
    </x:row>
    <x:row r="18">
      <x:c r="A18" s="42" t="str">
        <x:v>客户隐私</x:v>
      </x:c>
      <x:c r="B18" s="42" t="str">
        <x:v>通过</x:v>
      </x:c>
      <x:c r="C18" s="42" t="str">
        <x:v>数据集中无姓名、电话、地址</x:v>
      </x:c>
      <x:c r="D18" s="42" t="str">
        <x:v>项目组</x:v>
      </x:c>
    </x:row>
  </x:sheetData>
  <x:mergeCells>
    <x:mergeCell ref="A1:D1"/>
  </x:mergeCells>
  <x:conditionalFormatting sqref="D4:D11">
    <x:cfRule type="containsText" dxfId="4" priority="1" operator="containsText" text="PASS"/>
    <x:cfRule type="containsText" dxfId="5" priority="2" operator="containsText" text="CHECK"/>
  </x:conditionalFormatting>
  <x:pageMargins left="0.7" right="0.7" top="0.75" bottom="0.75" header="0.3" footer="0.3"/>
</x:worksheet>
</file>